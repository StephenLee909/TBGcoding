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c59412b12730b5a9/專題^0暑期實習/TBGcoding/Dataframe/"/>
    </mc:Choice>
  </mc:AlternateContent>
  <xr:revisionPtr revIDLastSave="2" documentId="8_{ADB13B4B-42C3-4008-8669-8D6963597569}" xr6:coauthVersionLast="47" xr6:coauthVersionMax="47" xr10:uidLastSave="{C4574F0B-2616-4E87-9DBF-6A956C49E4D0}"/>
  <bookViews>
    <workbookView xWindow="-120" yWindow="-120" windowWidth="29040" windowHeight="16440" activeTab="1" xr2:uid="{00000000-000D-0000-FFFF-FFFF00000000}"/>
  </bookViews>
  <sheets>
    <sheet name="Sheet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</calcChain>
</file>

<file path=xl/sharedStrings.xml><?xml version="1.0" encoding="utf-8"?>
<sst xmlns="http://schemas.openxmlformats.org/spreadsheetml/2006/main" count="20" uniqueCount="19">
  <si>
    <t>m</t>
  </si>
  <si>
    <t>theta_rad</t>
  </si>
  <si>
    <t>theta_deg</t>
  </si>
  <si>
    <t>alpha</t>
  </si>
  <si>
    <t>alpha_square</t>
  </si>
  <si>
    <t>Morie Lattice</t>
    <phoneticPr fontId="3" type="noConversion"/>
  </si>
  <si>
    <t>L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</si>
  <si>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</si>
  <si>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</si>
  <si>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</si>
  <si>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M4</t>
    <phoneticPr fontId="3" type="noConversion"/>
  </si>
  <si>
    <t>M5</t>
    <phoneticPr fontId="3" type="noConversion"/>
  </si>
  <si>
    <t>length(BM)</t>
    <phoneticPr fontId="3" type="noConversion"/>
  </si>
  <si>
    <t>length</t>
    <phoneticPr fontId="3" type="noConversion"/>
  </si>
  <si>
    <t>theta_range</t>
  </si>
  <si>
    <t>alpha_range</t>
  </si>
  <si>
    <t>theta_slope</t>
  </si>
  <si>
    <t>alpha_square</t>
    <phoneticPr fontId="3" type="noConversion"/>
  </si>
  <si>
    <t>log(v)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</si>
</sst>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0"/>
  </numFmts>
  <fonts count="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2">
    <xf numFmtId="0" fontId="0" fillId="0" borderId="0" xfId="0"/>
    <xf numFmtId="1" fontId="2" fillId="0" borderId="1" xfId="0" applyNumberFormat="1" applyFont="1" applyBorder="1" applyAlignment="1">
      <alignment horizontal="center" vertical="top"/>
    </xf>
    <xf numFmtId="11" fontId="2" fillId="0" borderId="1" xfId="0" applyNumberFormat="1" applyFont="1" applyBorder="1" applyAlignment="1">
      <alignment horizontal="center" vertical="top"/>
    </xf>
    <xf numFmtId="0" fontId="4" fillId="2" borderId="0" xfId="1" applyAlignment="1"/>
    <xf numFmtId="176" fontId="2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4" fillId="2" borderId="0" xfId="1" applyNumberFormat="1" applyAlignment="1"/>
    <xf numFmtId="0" fontId="5" fillId="3" borderId="0" xfId="2" applyAlignment="1"/>
    <xf numFmtId="0" fontId="1" fillId="4" borderId="0" xfId="3" applyAlignment="1"/>
    <xf numFmtId="0" fontId="2" fillId="0" borderId="1" xfId="0" applyFont="1" applyBorder="1" applyAlignment="1">
      <alignment horizontal="center" vertical="top"/>
    </xf>
    <xf numFmtId="177" fontId="0" fillId="0" borderId="0" xfId="0" applyNumberFormat="1"/>
    <xf numFmtId="177" fontId="4" fillId="2" borderId="0" xfId="1" applyNumberFormat="1" applyAlignment="1"/>
  </cellXfs>
  <cellStyles count="4">
    <cellStyle name="40% - 輔色1" xfId="3" builtinId="31"/>
    <cellStyle name="一般" xfId="0" builtinId="0"/>
    <cellStyle name="中等" xfId="2" builtinId="28"/>
    <cellStyle name="好" xfId="1" builtinId="26"/>
  </cellStyles>
  <dxfs count="13">
    <dxf>
      <numFmt numFmtId="0" formatCode="General"/>
    </dxf>
    <dxf>
      <numFmt numFmtId="0" formatCode="General"/>
    </dxf>
    <dxf>
      <numFmt numFmtId="177" formatCode="0.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新細明體"/>
        <family val="1"/>
        <charset val="136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76" formatCode="0_);[Red]\(0\)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新細明體"/>
        <family val="1"/>
        <charset val="136"/>
        <scheme val="none"/>
      </font>
      <numFmt numFmtId="15" formatCode="0.00E+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 vs theta(rad)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 vs theta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Sheet1!$H$2:$H$300</c:f>
              <c:numCache>
                <c:formatCode>0_);[Red]\(0\)</c:formatCode>
                <c:ptCount val="299"/>
                <c:pt idx="0">
                  <c:v>6.5997545000000005E-2</c:v>
                </c:pt>
                <c:pt idx="1">
                  <c:v>0.109148595</c:v>
                </c:pt>
                <c:pt idx="2">
                  <c:v>0.15247862100000001</c:v>
                </c:pt>
                <c:pt idx="3">
                  <c:v>0.19586922300000001</c:v>
                </c:pt>
                <c:pt idx="4">
                  <c:v>0.23928750500000001</c:v>
                </c:pt>
                <c:pt idx="5">
                  <c:v>0.282720729</c:v>
                </c:pt>
                <c:pt idx="6">
                  <c:v>0.32616292899999999</c:v>
                </c:pt>
                <c:pt idx="7">
                  <c:v>0.36961094300000003</c:v>
                </c:pt>
                <c:pt idx="8">
                  <c:v>0.41306293700000002</c:v>
                </c:pt>
                <c:pt idx="9">
                  <c:v>0.45651777399999999</c:v>
                </c:pt>
                <c:pt idx="10">
                  <c:v>0.49997471399999999</c:v>
                </c:pt>
                <c:pt idx="11">
                  <c:v>0.54343325200000003</c:v>
                </c:pt>
                <c:pt idx="12">
                  <c:v>0.58689303400000004</c:v>
                </c:pt>
                <c:pt idx="13">
                  <c:v>0.63035380200000002</c:v>
                </c:pt>
                <c:pt idx="14">
                  <c:v>0.67381536500000005</c:v>
                </c:pt>
                <c:pt idx="15">
                  <c:v>0.717277579</c:v>
                </c:pt>
                <c:pt idx="16">
                  <c:v>0.76074033200000002</c:v>
                </c:pt>
                <c:pt idx="17">
                  <c:v>0.804203538</c:v>
                </c:pt>
                <c:pt idx="18">
                  <c:v>0.84766712499999997</c:v>
                </c:pt>
                <c:pt idx="19">
                  <c:v>0.89113103900000001</c:v>
                </c:pt>
                <c:pt idx="20">
                  <c:v>0.934595234</c:v>
                </c:pt>
                <c:pt idx="21">
                  <c:v>0.97805967199999999</c:v>
                </c:pt>
                <c:pt idx="22">
                  <c:v>1.021524323</c:v>
                </c:pt>
                <c:pt idx="23">
                  <c:v>1.0649891600000001</c:v>
                </c:pt>
                <c:pt idx="24">
                  <c:v>1.108454161</c:v>
                </c:pt>
                <c:pt idx="25">
                  <c:v>1.1519193080000001</c:v>
                </c:pt>
                <c:pt idx="26">
                  <c:v>1.195384585</c:v>
                </c:pt>
                <c:pt idx="27">
                  <c:v>1.238849979</c:v>
                </c:pt>
                <c:pt idx="28">
                  <c:v>1.282315477</c:v>
                </c:pt>
                <c:pt idx="29">
                  <c:v>1.325781069</c:v>
                </c:pt>
                <c:pt idx="30">
                  <c:v>1.369246746</c:v>
                </c:pt>
                <c:pt idx="31">
                  <c:v>1.4127125</c:v>
                </c:pt>
                <c:pt idx="32">
                  <c:v>1.456178325</c:v>
                </c:pt>
                <c:pt idx="33">
                  <c:v>1.4996442139999999</c:v>
                </c:pt>
                <c:pt idx="34">
                  <c:v>1.5431101629999999</c:v>
                </c:pt>
                <c:pt idx="35">
                  <c:v>1.5865761650000001</c:v>
                </c:pt>
                <c:pt idx="36">
                  <c:v>1.6300422160000001</c:v>
                </c:pt>
                <c:pt idx="37">
                  <c:v>1.673508314</c:v>
                </c:pt>
                <c:pt idx="38">
                  <c:v>1.716974454</c:v>
                </c:pt>
                <c:pt idx="39">
                  <c:v>1.760440633</c:v>
                </c:pt>
                <c:pt idx="40">
                  <c:v>1.803906848</c:v>
                </c:pt>
                <c:pt idx="41">
                  <c:v>1.847373098</c:v>
                </c:pt>
                <c:pt idx="42">
                  <c:v>1.890839379</c:v>
                </c:pt>
                <c:pt idx="43">
                  <c:v>1.9343056890000001</c:v>
                </c:pt>
                <c:pt idx="44">
                  <c:v>1.977772026</c:v>
                </c:pt>
                <c:pt idx="45">
                  <c:v>2.0212383890000001</c:v>
                </c:pt>
                <c:pt idx="46">
                  <c:v>2.0647047770000002</c:v>
                </c:pt>
                <c:pt idx="47">
                  <c:v>2.1081711859999999</c:v>
                </c:pt>
                <c:pt idx="48">
                  <c:v>2.151637617</c:v>
                </c:pt>
                <c:pt idx="49">
                  <c:v>2.195104068</c:v>
                </c:pt>
                <c:pt idx="50">
                  <c:v>2.2385705379999998</c:v>
                </c:pt>
                <c:pt idx="51">
                  <c:v>2.2820370250000002</c:v>
                </c:pt>
                <c:pt idx="52">
                  <c:v>2.3255035290000001</c:v>
                </c:pt>
                <c:pt idx="53">
                  <c:v>2.3689700490000001</c:v>
                </c:pt>
                <c:pt idx="54">
                  <c:v>2.4124365829999999</c:v>
                </c:pt>
                <c:pt idx="55">
                  <c:v>2.455903132</c:v>
                </c:pt>
                <c:pt idx="56">
                  <c:v>2.4993696939999999</c:v>
                </c:pt>
                <c:pt idx="57">
                  <c:v>2.5428362689999999</c:v>
                </c:pt>
                <c:pt idx="58">
                  <c:v>2.5863028560000001</c:v>
                </c:pt>
                <c:pt idx="59">
                  <c:v>2.6297694549999999</c:v>
                </c:pt>
                <c:pt idx="60">
                  <c:v>2.6732360640000001</c:v>
                </c:pt>
                <c:pt idx="61">
                  <c:v>2.7167026839999999</c:v>
                </c:pt>
                <c:pt idx="62">
                  <c:v>2.760169313</c:v>
                </c:pt>
                <c:pt idx="63">
                  <c:v>2.803635952</c:v>
                </c:pt>
                <c:pt idx="64">
                  <c:v>2.8471025999999999</c:v>
                </c:pt>
                <c:pt idx="65">
                  <c:v>2.8905692570000001</c:v>
                </c:pt>
                <c:pt idx="66">
                  <c:v>2.9340359220000001</c:v>
                </c:pt>
                <c:pt idx="67">
                  <c:v>2.9775025949999998</c:v>
                </c:pt>
                <c:pt idx="68">
                  <c:v>3.0209692750000001</c:v>
                </c:pt>
                <c:pt idx="69">
                  <c:v>3.0644359620000001</c:v>
                </c:pt>
                <c:pt idx="70">
                  <c:v>3.1079026569999999</c:v>
                </c:pt>
                <c:pt idx="71">
                  <c:v>3.1513693580000002</c:v>
                </c:pt>
                <c:pt idx="72">
                  <c:v>3.1948360650000001</c:v>
                </c:pt>
                <c:pt idx="73">
                  <c:v>3.238302778</c:v>
                </c:pt>
                <c:pt idx="74">
                  <c:v>3.281769497</c:v>
                </c:pt>
                <c:pt idx="75">
                  <c:v>3.325236222</c:v>
                </c:pt>
                <c:pt idx="76">
                  <c:v>3.368702952</c:v>
                </c:pt>
                <c:pt idx="77">
                  <c:v>3.4121696880000001</c:v>
                </c:pt>
                <c:pt idx="78">
                  <c:v>3.455636428</c:v>
                </c:pt>
                <c:pt idx="79">
                  <c:v>3.499103173</c:v>
                </c:pt>
                <c:pt idx="80">
                  <c:v>3.5425699229999998</c:v>
                </c:pt>
                <c:pt idx="81">
                  <c:v>3.5860366770000001</c:v>
                </c:pt>
                <c:pt idx="82">
                  <c:v>3.6295034359999998</c:v>
                </c:pt>
                <c:pt idx="83">
                  <c:v>3.6729701989999999</c:v>
                </c:pt>
                <c:pt idx="84">
                  <c:v>3.7164369650000002</c:v>
                </c:pt>
                <c:pt idx="85">
                  <c:v>3.7599037360000001</c:v>
                </c:pt>
                <c:pt idx="86">
                  <c:v>3.8033705100000001</c:v>
                </c:pt>
                <c:pt idx="87">
                  <c:v>3.8468372880000001</c:v>
                </c:pt>
                <c:pt idx="88">
                  <c:v>3.89030407</c:v>
                </c:pt>
                <c:pt idx="89">
                  <c:v>3.933770854</c:v>
                </c:pt>
                <c:pt idx="90">
                  <c:v>3.977237642</c:v>
                </c:pt>
                <c:pt idx="91">
                  <c:v>4.0207044339999998</c:v>
                </c:pt>
                <c:pt idx="92">
                  <c:v>4.0641712280000002</c:v>
                </c:pt>
                <c:pt idx="93">
                  <c:v>4.107638025</c:v>
                </c:pt>
                <c:pt idx="94">
                  <c:v>4.151104825</c:v>
                </c:pt>
                <c:pt idx="95">
                  <c:v>4.1945716280000003</c:v>
                </c:pt>
                <c:pt idx="96">
                  <c:v>4.2380384329999998</c:v>
                </c:pt>
                <c:pt idx="97">
                  <c:v>4.2815052419999997</c:v>
                </c:pt>
                <c:pt idx="98">
                  <c:v>4.3249720519999997</c:v>
                </c:pt>
                <c:pt idx="99">
                  <c:v>4.3684388649999999</c:v>
                </c:pt>
                <c:pt idx="100">
                  <c:v>4.4119056810000004</c:v>
                </c:pt>
                <c:pt idx="101">
                  <c:v>4.4553724990000001</c:v>
                </c:pt>
                <c:pt idx="102">
                  <c:v>4.498839319</c:v>
                </c:pt>
                <c:pt idx="103">
                  <c:v>4.5423061410000001</c:v>
                </c:pt>
                <c:pt idx="104">
                  <c:v>4.5857729650000003</c:v>
                </c:pt>
                <c:pt idx="105">
                  <c:v>4.6292397919999999</c:v>
                </c:pt>
                <c:pt idx="106">
                  <c:v>4.6727066199999996</c:v>
                </c:pt>
                <c:pt idx="107">
                  <c:v>4.7161734500000003</c:v>
                </c:pt>
                <c:pt idx="108">
                  <c:v>4.7596402820000003</c:v>
                </c:pt>
                <c:pt idx="109">
                  <c:v>4.8031071159999996</c:v>
                </c:pt>
                <c:pt idx="110">
                  <c:v>4.846573952</c:v>
                </c:pt>
                <c:pt idx="111">
                  <c:v>4.8900407899999996</c:v>
                </c:pt>
                <c:pt idx="112">
                  <c:v>4.9335076290000002</c:v>
                </c:pt>
                <c:pt idx="113">
                  <c:v>4.97697447</c:v>
                </c:pt>
                <c:pt idx="114">
                  <c:v>5.0204413130000001</c:v>
                </c:pt>
                <c:pt idx="115">
                  <c:v>5.0639081570000002</c:v>
                </c:pt>
                <c:pt idx="116">
                  <c:v>5.1073750020000004</c:v>
                </c:pt>
                <c:pt idx="117">
                  <c:v>5.1508418499999999</c:v>
                </c:pt>
                <c:pt idx="118">
                  <c:v>5.1943086980000004</c:v>
                </c:pt>
                <c:pt idx="119">
                  <c:v>5.2377755480000001</c:v>
                </c:pt>
                <c:pt idx="120">
                  <c:v>5.2812424</c:v>
                </c:pt>
                <c:pt idx="121">
                  <c:v>5.3247092519999999</c:v>
                </c:pt>
                <c:pt idx="122">
                  <c:v>5.3681761059999999</c:v>
                </c:pt>
                <c:pt idx="123">
                  <c:v>5.4116429620000002</c:v>
                </c:pt>
                <c:pt idx="124">
                  <c:v>5.4551098180000004</c:v>
                </c:pt>
                <c:pt idx="125">
                  <c:v>5.4985766759999999</c:v>
                </c:pt>
                <c:pt idx="126">
                  <c:v>5.5420435350000004</c:v>
                </c:pt>
                <c:pt idx="127">
                  <c:v>5.585510395</c:v>
                </c:pt>
                <c:pt idx="128">
                  <c:v>5.6289772559999998</c:v>
                </c:pt>
                <c:pt idx="129">
                  <c:v>5.6724441189999997</c:v>
                </c:pt>
                <c:pt idx="130">
                  <c:v>5.7159109819999996</c:v>
                </c:pt>
                <c:pt idx="131">
                  <c:v>5.7593778469999997</c:v>
                </c:pt>
                <c:pt idx="132">
                  <c:v>5.8028447119999997</c:v>
                </c:pt>
                <c:pt idx="133">
                  <c:v>5.846311579</c:v>
                </c:pt>
                <c:pt idx="134">
                  <c:v>5.8897784470000003</c:v>
                </c:pt>
                <c:pt idx="135">
                  <c:v>5.9332453149999997</c:v>
                </c:pt>
                <c:pt idx="136">
                  <c:v>5.9767121850000002</c:v>
                </c:pt>
                <c:pt idx="137">
                  <c:v>6.0201790549999998</c:v>
                </c:pt>
                <c:pt idx="138">
                  <c:v>6.0636459260000004</c:v>
                </c:pt>
                <c:pt idx="139">
                  <c:v>6.1071127990000003</c:v>
                </c:pt>
                <c:pt idx="140">
                  <c:v>6.1505796720000001</c:v>
                </c:pt>
                <c:pt idx="141">
                  <c:v>6.194046546</c:v>
                </c:pt>
                <c:pt idx="142">
                  <c:v>6.2375134210000001</c:v>
                </c:pt>
                <c:pt idx="143">
                  <c:v>6.2809802960000001</c:v>
                </c:pt>
                <c:pt idx="144">
                  <c:v>6.3244471730000003</c:v>
                </c:pt>
                <c:pt idx="145">
                  <c:v>6.3679140500000004</c:v>
                </c:pt>
                <c:pt idx="146">
                  <c:v>6.4113809279999998</c:v>
                </c:pt>
                <c:pt idx="147">
                  <c:v>6.4548478060000001</c:v>
                </c:pt>
                <c:pt idx="148">
                  <c:v>6.4983146859999996</c:v>
                </c:pt>
                <c:pt idx="149">
                  <c:v>6.541781566</c:v>
                </c:pt>
                <c:pt idx="150">
                  <c:v>6.5852484469999997</c:v>
                </c:pt>
                <c:pt idx="151">
                  <c:v>6.6287153290000003</c:v>
                </c:pt>
                <c:pt idx="152">
                  <c:v>6.672182211</c:v>
                </c:pt>
                <c:pt idx="153">
                  <c:v>6.7156490939999998</c:v>
                </c:pt>
                <c:pt idx="154">
                  <c:v>6.7591159770000004</c:v>
                </c:pt>
                <c:pt idx="155">
                  <c:v>6.8025828620000004</c:v>
                </c:pt>
                <c:pt idx="156">
                  <c:v>6.8460497460000003</c:v>
                </c:pt>
                <c:pt idx="157">
                  <c:v>6.8895166320000003</c:v>
                </c:pt>
                <c:pt idx="158">
                  <c:v>6.9329835180000003</c:v>
                </c:pt>
                <c:pt idx="159">
                  <c:v>6.9764504049999996</c:v>
                </c:pt>
                <c:pt idx="160">
                  <c:v>7.0199172919999997</c:v>
                </c:pt>
                <c:pt idx="161">
                  <c:v>7.0633841799999999</c:v>
                </c:pt>
                <c:pt idx="162">
                  <c:v>7.1068510680000001</c:v>
                </c:pt>
                <c:pt idx="163">
                  <c:v>7.1503179570000004</c:v>
                </c:pt>
                <c:pt idx="164">
                  <c:v>7.1937848469999999</c:v>
                </c:pt>
                <c:pt idx="165">
                  <c:v>7.2372517370000002</c:v>
                </c:pt>
                <c:pt idx="166">
                  <c:v>7.2807186269999997</c:v>
                </c:pt>
                <c:pt idx="167">
                  <c:v>7.3241855180000002</c:v>
                </c:pt>
                <c:pt idx="168">
                  <c:v>7.3676524099999998</c:v>
                </c:pt>
                <c:pt idx="169">
                  <c:v>7.4111193020000004</c:v>
                </c:pt>
                <c:pt idx="170">
                  <c:v>7.454586194</c:v>
                </c:pt>
                <c:pt idx="171">
                  <c:v>7.4980530869999997</c:v>
                </c:pt>
                <c:pt idx="172">
                  <c:v>7.5415199810000004</c:v>
                </c:pt>
                <c:pt idx="173">
                  <c:v>7.5849868750000002</c:v>
                </c:pt>
                <c:pt idx="174">
                  <c:v>7.6284537690000001</c:v>
                </c:pt>
                <c:pt idx="175">
                  <c:v>7.6719206639999999</c:v>
                </c:pt>
                <c:pt idx="176">
                  <c:v>7.7153875599999999</c:v>
                </c:pt>
                <c:pt idx="177">
                  <c:v>7.7588544549999998</c:v>
                </c:pt>
                <c:pt idx="178">
                  <c:v>7.8023213509999998</c:v>
                </c:pt>
                <c:pt idx="179">
                  <c:v>7.8457882479999999</c:v>
                </c:pt>
                <c:pt idx="180">
                  <c:v>7.8892551449999999</c:v>
                </c:pt>
                <c:pt idx="181">
                  <c:v>7.932722042</c:v>
                </c:pt>
                <c:pt idx="182">
                  <c:v>7.9761889400000001</c:v>
                </c:pt>
                <c:pt idx="183">
                  <c:v>8.0196558380000003</c:v>
                </c:pt>
                <c:pt idx="184">
                  <c:v>8.0631227370000005</c:v>
                </c:pt>
                <c:pt idx="185">
                  <c:v>8.1065896360000007</c:v>
                </c:pt>
                <c:pt idx="186">
                  <c:v>8.1500565349999992</c:v>
                </c:pt>
                <c:pt idx="187">
                  <c:v>8.1935234349999995</c:v>
                </c:pt>
                <c:pt idx="188">
                  <c:v>8.2369903349999998</c:v>
                </c:pt>
                <c:pt idx="189">
                  <c:v>8.2804572350000001</c:v>
                </c:pt>
                <c:pt idx="190">
                  <c:v>8.3239241360000005</c:v>
                </c:pt>
                <c:pt idx="191">
                  <c:v>8.3673910370000009</c:v>
                </c:pt>
                <c:pt idx="192">
                  <c:v>8.4108579389999996</c:v>
                </c:pt>
                <c:pt idx="193">
                  <c:v>8.45432484</c:v>
                </c:pt>
                <c:pt idx="194">
                  <c:v>8.4977917420000004</c:v>
                </c:pt>
                <c:pt idx="195">
                  <c:v>8.5412586449999992</c:v>
                </c:pt>
                <c:pt idx="196">
                  <c:v>8.5847255479999998</c:v>
                </c:pt>
                <c:pt idx="197">
                  <c:v>8.6281924510000003</c:v>
                </c:pt>
                <c:pt idx="198">
                  <c:v>8.6716593540000009</c:v>
                </c:pt>
                <c:pt idx="199">
                  <c:v>8.7151262579999997</c:v>
                </c:pt>
                <c:pt idx="200">
                  <c:v>8.7585931620000004</c:v>
                </c:pt>
                <c:pt idx="201">
                  <c:v>8.8020600659999992</c:v>
                </c:pt>
                <c:pt idx="202">
                  <c:v>8.8455269699999999</c:v>
                </c:pt>
                <c:pt idx="203">
                  <c:v>8.8889938750000006</c:v>
                </c:pt>
                <c:pt idx="204">
                  <c:v>8.9324607799999995</c:v>
                </c:pt>
                <c:pt idx="205">
                  <c:v>8.9759276860000003</c:v>
                </c:pt>
                <c:pt idx="206">
                  <c:v>9.0193945909999993</c:v>
                </c:pt>
                <c:pt idx="207">
                  <c:v>9.0628614970000001</c:v>
                </c:pt>
                <c:pt idx="208">
                  <c:v>9.1063284039999992</c:v>
                </c:pt>
                <c:pt idx="209">
                  <c:v>9.14979531</c:v>
                </c:pt>
                <c:pt idx="210">
                  <c:v>9.1932622169999991</c:v>
                </c:pt>
                <c:pt idx="211">
                  <c:v>9.236729124</c:v>
                </c:pt>
                <c:pt idx="212">
                  <c:v>9.2801960309999991</c:v>
                </c:pt>
                <c:pt idx="213">
                  <c:v>9.323662938</c:v>
                </c:pt>
                <c:pt idx="214">
                  <c:v>9.3671298459999992</c:v>
                </c:pt>
                <c:pt idx="215">
                  <c:v>9.4105967540000002</c:v>
                </c:pt>
                <c:pt idx="216">
                  <c:v>9.4540636619999994</c:v>
                </c:pt>
                <c:pt idx="217">
                  <c:v>9.4975305710000004</c:v>
                </c:pt>
                <c:pt idx="218">
                  <c:v>9.5409974789999996</c:v>
                </c:pt>
                <c:pt idx="219">
                  <c:v>9.5844643880000007</c:v>
                </c:pt>
                <c:pt idx="220">
                  <c:v>9.6279312969999999</c:v>
                </c:pt>
                <c:pt idx="221">
                  <c:v>9.6713982069999993</c:v>
                </c:pt>
                <c:pt idx="222">
                  <c:v>9.7148651160000004</c:v>
                </c:pt>
                <c:pt idx="223">
                  <c:v>9.7583320259999997</c:v>
                </c:pt>
                <c:pt idx="224">
                  <c:v>9.8017989360000009</c:v>
                </c:pt>
                <c:pt idx="225">
                  <c:v>9.8452658460000002</c:v>
                </c:pt>
                <c:pt idx="226">
                  <c:v>9.8887327569999997</c:v>
                </c:pt>
                <c:pt idx="227">
                  <c:v>9.9321996670000008</c:v>
                </c:pt>
                <c:pt idx="228">
                  <c:v>9.9756665780000002</c:v>
                </c:pt>
                <c:pt idx="229">
                  <c:v>10.01913349</c:v>
                </c:pt>
                <c:pt idx="230">
                  <c:v>10.062600399999999</c:v>
                </c:pt>
                <c:pt idx="231">
                  <c:v>10.10606731</c:v>
                </c:pt>
                <c:pt idx="232">
                  <c:v>10.14953422</c:v>
                </c:pt>
                <c:pt idx="233">
                  <c:v>10.19300114</c:v>
                </c:pt>
                <c:pt idx="234">
                  <c:v>10.236468049999999</c:v>
                </c:pt>
                <c:pt idx="235">
                  <c:v>10.27993496</c:v>
                </c:pt>
                <c:pt idx="236">
                  <c:v>10.32340187</c:v>
                </c:pt>
                <c:pt idx="237">
                  <c:v>10.366868780000001</c:v>
                </c:pt>
                <c:pt idx="238">
                  <c:v>10.410335699999999</c:v>
                </c:pt>
                <c:pt idx="239">
                  <c:v>10.45380261</c:v>
                </c:pt>
                <c:pt idx="240">
                  <c:v>10.49726952</c:v>
                </c:pt>
                <c:pt idx="241">
                  <c:v>10.54073644</c:v>
                </c:pt>
                <c:pt idx="242">
                  <c:v>10.584203349999999</c:v>
                </c:pt>
                <c:pt idx="243">
                  <c:v>10.62767026</c:v>
                </c:pt>
                <c:pt idx="244">
                  <c:v>10.671137180000001</c:v>
                </c:pt>
                <c:pt idx="245">
                  <c:v>10.71460409</c:v>
                </c:pt>
                <c:pt idx="246">
                  <c:v>10.758070999999999</c:v>
                </c:pt>
                <c:pt idx="247">
                  <c:v>10.801537919999999</c:v>
                </c:pt>
                <c:pt idx="248">
                  <c:v>10.845004830000001</c:v>
                </c:pt>
                <c:pt idx="249">
                  <c:v>10.888471750000001</c:v>
                </c:pt>
                <c:pt idx="250">
                  <c:v>10.93193866</c:v>
                </c:pt>
                <c:pt idx="251">
                  <c:v>10.97540558</c:v>
                </c:pt>
                <c:pt idx="252">
                  <c:v>11.01887249</c:v>
                </c:pt>
                <c:pt idx="253">
                  <c:v>11.06233941</c:v>
                </c:pt>
                <c:pt idx="254">
                  <c:v>11.105806319999999</c:v>
                </c:pt>
                <c:pt idx="255">
                  <c:v>11.149273239999999</c:v>
                </c:pt>
                <c:pt idx="256">
                  <c:v>11.192740150000001</c:v>
                </c:pt>
                <c:pt idx="257">
                  <c:v>11.236207070000001</c:v>
                </c:pt>
                <c:pt idx="258">
                  <c:v>11.279673989999999</c:v>
                </c:pt>
                <c:pt idx="259">
                  <c:v>11.3231409</c:v>
                </c:pt>
                <c:pt idx="260">
                  <c:v>11.36660782</c:v>
                </c:pt>
                <c:pt idx="261">
                  <c:v>11.41007473</c:v>
                </c:pt>
                <c:pt idx="262">
                  <c:v>11.45354165</c:v>
                </c:pt>
                <c:pt idx="263">
                  <c:v>11.49700857</c:v>
                </c:pt>
                <c:pt idx="264">
                  <c:v>11.54047548</c:v>
                </c:pt>
                <c:pt idx="265">
                  <c:v>11.5839424</c:v>
                </c:pt>
                <c:pt idx="266">
                  <c:v>11.62740932</c:v>
                </c:pt>
                <c:pt idx="267">
                  <c:v>11.670876229999999</c:v>
                </c:pt>
                <c:pt idx="268">
                  <c:v>11.714343149999999</c:v>
                </c:pt>
                <c:pt idx="269">
                  <c:v>11.75781007</c:v>
                </c:pt>
                <c:pt idx="270">
                  <c:v>11.80127699</c:v>
                </c:pt>
                <c:pt idx="271">
                  <c:v>11.844743899999999</c:v>
                </c:pt>
                <c:pt idx="272">
                  <c:v>11.888210819999999</c:v>
                </c:pt>
                <c:pt idx="273">
                  <c:v>11.93167774</c:v>
                </c:pt>
                <c:pt idx="274">
                  <c:v>11.97514466</c:v>
                </c:pt>
                <c:pt idx="275">
                  <c:v>12.018611569999999</c:v>
                </c:pt>
                <c:pt idx="276">
                  <c:v>12.062078489999999</c:v>
                </c:pt>
                <c:pt idx="277">
                  <c:v>12.10554541</c:v>
                </c:pt>
                <c:pt idx="278">
                  <c:v>12.14901233</c:v>
                </c:pt>
                <c:pt idx="279">
                  <c:v>12.19247925</c:v>
                </c:pt>
                <c:pt idx="280">
                  <c:v>12.23594617</c:v>
                </c:pt>
                <c:pt idx="281">
                  <c:v>12.279413079999999</c:v>
                </c:pt>
                <c:pt idx="282">
                  <c:v>12.32288</c:v>
                </c:pt>
                <c:pt idx="283">
                  <c:v>12.36634692</c:v>
                </c:pt>
                <c:pt idx="284">
                  <c:v>12.40981384</c:v>
                </c:pt>
                <c:pt idx="285">
                  <c:v>12.45328076</c:v>
                </c:pt>
                <c:pt idx="286">
                  <c:v>12.49674768</c:v>
                </c:pt>
                <c:pt idx="287">
                  <c:v>12.540214600000001</c:v>
                </c:pt>
                <c:pt idx="288">
                  <c:v>12.583681520000001</c:v>
                </c:pt>
                <c:pt idx="289">
                  <c:v>12.627148439999999</c:v>
                </c:pt>
                <c:pt idx="290">
                  <c:v>12.670615359999999</c:v>
                </c:pt>
                <c:pt idx="291">
                  <c:v>12.71408228</c:v>
                </c:pt>
                <c:pt idx="292">
                  <c:v>12.7575492</c:v>
                </c:pt>
                <c:pt idx="293">
                  <c:v>12.80101612</c:v>
                </c:pt>
                <c:pt idx="294">
                  <c:v>12.84448304</c:v>
                </c:pt>
                <c:pt idx="295">
                  <c:v>12.88794996</c:v>
                </c:pt>
                <c:pt idx="296">
                  <c:v>12.93141688</c:v>
                </c:pt>
                <c:pt idx="297">
                  <c:v>12.974883800000001</c:v>
                </c:pt>
                <c:pt idx="298">
                  <c:v>13.018350720000001</c:v>
                </c:pt>
              </c:numCache>
            </c:numRef>
          </c:xVal>
          <c:yVal>
            <c:numRef>
              <c:f>Sheet1!$B$2:$B$300</c:f>
              <c:numCache>
                <c:formatCode>General</c:formatCode>
                <c:ptCount val="299"/>
                <c:pt idx="0">
                  <c:v>0.38025120669293339</c:v>
                </c:pt>
                <c:pt idx="1">
                  <c:v>0.2299218410014128</c:v>
                </c:pt>
                <c:pt idx="2">
                  <c:v>0.1645846864818947</c:v>
                </c:pt>
                <c:pt idx="3">
                  <c:v>0.1281244985061081</c:v>
                </c:pt>
                <c:pt idx="4">
                  <c:v>0.10487654149803689</c:v>
                </c:pt>
                <c:pt idx="5">
                  <c:v>8.8764789507091421E-2</c:v>
                </c:pt>
                <c:pt idx="6">
                  <c:v>7.6942054814656838E-2</c:v>
                </c:pt>
                <c:pt idx="7">
                  <c:v>6.7897464735939703E-2</c:v>
                </c:pt>
                <c:pt idx="8">
                  <c:v>6.0755017543170392E-2</c:v>
                </c:pt>
                <c:pt idx="9">
                  <c:v>5.4971892400389737E-2</c:v>
                </c:pt>
                <c:pt idx="10">
                  <c:v>5.0193830297331397E-2</c:v>
                </c:pt>
                <c:pt idx="11">
                  <c:v>4.6179812957925621E-2</c:v>
                </c:pt>
                <c:pt idx="12">
                  <c:v>4.2760170076008262E-2</c:v>
                </c:pt>
                <c:pt idx="13">
                  <c:v>3.9812000624043289E-2</c:v>
                </c:pt>
                <c:pt idx="14">
                  <c:v>3.724409868810688E-2</c:v>
                </c:pt>
                <c:pt idx="15">
                  <c:v>3.4987355922669633E-2</c:v>
                </c:pt>
                <c:pt idx="16">
                  <c:v>3.2988452020935859E-2</c:v>
                </c:pt>
                <c:pt idx="17">
                  <c:v>3.1205590107628842E-2</c:v>
                </c:pt>
                <c:pt idx="18">
                  <c:v>2.9605543513592621E-2</c:v>
                </c:pt>
                <c:pt idx="19">
                  <c:v>2.8161566434298211E-2</c:v>
                </c:pt>
                <c:pt idx="20">
                  <c:v>2.685188737192103E-2</c:v>
                </c:pt>
                <c:pt idx="21">
                  <c:v>2.5658604146265869E-2</c:v>
                </c:pt>
                <c:pt idx="22">
                  <c:v>2.4566860915546981E-2</c:v>
                </c:pt>
                <c:pt idx="23">
                  <c:v>2.3564226668096801E-2</c:v>
                </c:pt>
                <c:pt idx="24">
                  <c:v>2.2640219901316028E-2</c:v>
                </c:pt>
                <c:pt idx="25">
                  <c:v>2.1785940886646579E-2</c:v>
                </c:pt>
                <c:pt idx="26">
                  <c:v>2.0993784144368879E-2</c:v>
                </c:pt>
                <c:pt idx="27">
                  <c:v>2.0257211433648309E-2</c:v>
                </c:pt>
                <c:pt idx="28">
                  <c:v>1.9570570902621331E-2</c:v>
                </c:pt>
                <c:pt idx="29">
                  <c:v>1.8928951807174708E-2</c:v>
                </c:pt>
                <c:pt idx="30">
                  <c:v>1.8328066896350938E-2</c:v>
                </c:pt>
                <c:pt idx="31">
                  <c:v>1.7764156506746079E-2</c:v>
                </c:pt>
                <c:pt idx="32">
                  <c:v>1.7233909830795799E-2</c:v>
                </c:pt>
                <c:pt idx="33">
                  <c:v>1.673439987505166E-2</c:v>
                </c:pt>
                <c:pt idx="34">
                  <c:v>1.6263029409546551E-2</c:v>
                </c:pt>
                <c:pt idx="35">
                  <c:v>1.5817485800822869E-2</c:v>
                </c:pt>
                <c:pt idx="36">
                  <c:v>1.53957030705399E-2</c:v>
                </c:pt>
                <c:pt idx="37">
                  <c:v>1.4995829866230289E-2</c:v>
                </c:pt>
                <c:pt idx="38">
                  <c:v>1.4616202296524919E-2</c:v>
                </c:pt>
                <c:pt idx="39">
                  <c:v>1.425532079037181E-2</c:v>
                </c:pt>
                <c:pt idx="40">
                  <c:v>1.391183030141958E-2</c:v>
                </c:pt>
                <c:pt idx="41">
                  <c:v>1.3584503306787321E-2</c:v>
                </c:pt>
                <c:pt idx="42">
                  <c:v>1.3272225150564599E-2</c:v>
                </c:pt>
                <c:pt idx="43">
                  <c:v>1.297398136326783E-2</c:v>
                </c:pt>
                <c:pt idx="44">
                  <c:v>1.2688846653276921E-2</c:v>
                </c:pt>
                <c:pt idx="45">
                  <c:v>1.241597531860634E-2</c:v>
                </c:pt>
                <c:pt idx="46">
                  <c:v>1.215459286969524E-2</c:v>
                </c:pt>
                <c:pt idx="47">
                  <c:v>1.190398868847168E-2</c:v>
                </c:pt>
                <c:pt idx="48">
                  <c:v>1.166350957716698E-2</c:v>
                </c:pt>
                <c:pt idx="49">
                  <c:v>1.1432554073477539E-2</c:v>
                </c:pt>
                <c:pt idx="50">
                  <c:v>1.121056742811494E-2</c:v>
                </c:pt>
                <c:pt idx="51">
                  <c:v>1.0997037156157361E-2</c:v>
                </c:pt>
                <c:pt idx="52">
                  <c:v>1.079148908739264E-2</c:v>
                </c:pt>
                <c:pt idx="53">
                  <c:v>1.059348385139474E-2</c:v>
                </c:pt>
                <c:pt idx="54">
                  <c:v>1.040261374258666E-2</c:v>
                </c:pt>
                <c:pt idx="55">
                  <c:v>1.021849991822665E-2</c:v>
                </c:pt>
                <c:pt idx="56">
                  <c:v>1.004078988868422E-2</c:v>
                </c:pt>
                <c:pt idx="57">
                  <c:v>9.8691552651518702E-3</c:v>
                </c:pt>
                <c:pt idx="58">
                  <c:v>9.7032897345207328E-3</c:v>
                </c:pt>
                <c:pt idx="59">
                  <c:v>9.5429072349718369E-3</c:v>
                </c:pt>
                <c:pt idx="60">
                  <c:v>9.3877403096346533E-3</c:v>
                </c:pt>
                <c:pt idx="61">
                  <c:v>9.2375386182410816E-3</c:v>
                </c:pt>
                <c:pt idx="62">
                  <c:v>9.0920675894344775E-3</c:v>
                </c:pt>
                <c:pt idx="63">
                  <c:v>8.9511071984136742E-3</c:v>
                </c:pt>
                <c:pt idx="64">
                  <c:v>8.814450856556395E-3</c:v>
                </c:pt>
                <c:pt idx="65">
                  <c:v>8.681904401227335E-3</c:v>
                </c:pt>
                <c:pt idx="66">
                  <c:v>8.5532851753516177E-3</c:v>
                </c:pt>
                <c:pt idx="67">
                  <c:v>8.4284211876513859E-3</c:v>
                </c:pt>
                <c:pt idx="68">
                  <c:v>8.3071503453361166E-3</c:v>
                </c:pt>
                <c:pt idx="69">
                  <c:v>8.1893197520876253E-3</c:v>
                </c:pt>
                <c:pt idx="70">
                  <c:v>8.0747850649829575E-3</c:v>
                </c:pt>
                <c:pt idx="71">
                  <c:v>7.9634099046617078E-3</c:v>
                </c:pt>
                <c:pt idx="72">
                  <c:v>7.8550653135394544E-3</c:v>
                </c:pt>
                <c:pt idx="73">
                  <c:v>7.7496292577872196E-3</c:v>
                </c:pt>
                <c:pt idx="74">
                  <c:v>7.6469861687362278E-3</c:v>
                </c:pt>
                <c:pt idx="75">
                  <c:v>7.5470265204238716E-3</c:v>
                </c:pt>
                <c:pt idx="76">
                  <c:v>7.4496464396748207E-3</c:v>
                </c:pt>
                <c:pt idx="77">
                  <c:v>7.3547473461116359E-3</c:v>
                </c:pt>
                <c:pt idx="78">
                  <c:v>7.2622356192493581E-3</c:v>
                </c:pt>
                <c:pt idx="79">
                  <c:v>7.172022290439682E-3</c:v>
                </c:pt>
                <c:pt idx="80">
                  <c:v>7.0840227575331774E-3</c:v>
                </c:pt>
                <c:pt idx="81">
                  <c:v>6.9981565201968163E-3</c:v>
                </c:pt>
                <c:pt idx="82">
                  <c:v>6.9143469343107304E-3</c:v>
                </c:pt>
                <c:pt idx="83">
                  <c:v>6.832520983839188E-3</c:v>
                </c:pt>
                <c:pt idx="84">
                  <c:v>6.7526090686103732E-3</c:v>
                </c:pt>
                <c:pt idx="85">
                  <c:v>6.6745448068994753E-3</c:v>
                </c:pt>
                <c:pt idx="86">
                  <c:v>6.5982648515230408E-3</c:v>
                </c:pt>
                <c:pt idx="87">
                  <c:v>6.5237087183923834E-3</c:v>
                </c:pt>
                <c:pt idx="88">
                  <c:v>6.450818626584926E-3</c:v>
                </c:pt>
                <c:pt idx="89">
                  <c:v>6.37953934895395E-3</c:v>
                </c:pt>
                <c:pt idx="90">
                  <c:v>6.3098180726341088E-3</c:v>
                </c:pt>
                <c:pt idx="91">
                  <c:v>6.2416042685196418E-3</c:v>
                </c:pt>
                <c:pt idx="92">
                  <c:v>6.1748495691701256E-3</c:v>
                </c:pt>
                <c:pt idx="93">
                  <c:v>6.1095076543617689E-3</c:v>
                </c:pt>
                <c:pt idx="94">
                  <c:v>6.0455341439753854E-3</c:v>
                </c:pt>
                <c:pt idx="95">
                  <c:v>5.9828864974449496E-3</c:v>
                </c:pt>
                <c:pt idx="96">
                  <c:v>5.9215239194854432E-3</c:v>
                </c:pt>
                <c:pt idx="97">
                  <c:v>5.8614072713699637E-3</c:v>
                </c:pt>
                <c:pt idx="98">
                  <c:v>5.8024989878281757E-3</c:v>
                </c:pt>
                <c:pt idx="99">
                  <c:v>5.7447629986505369E-3</c:v>
                </c:pt>
                <c:pt idx="100">
                  <c:v>5.6881646551398598E-3</c:v>
                </c:pt>
                <c:pt idx="101">
                  <c:v>5.6326706607241397E-3</c:v>
                </c:pt>
                <c:pt idx="102">
                  <c:v>5.5782490055812676E-3</c:v>
                </c:pt>
                <c:pt idx="103">
                  <c:v>5.524868905196571E-3</c:v>
                </c:pt>
                <c:pt idx="104">
                  <c:v>5.4725007422063406E-3</c:v>
                </c:pt>
                <c:pt idx="105">
                  <c:v>5.4211160115793973E-3</c:v>
                </c:pt>
                <c:pt idx="106">
                  <c:v>5.3706872690033073E-3</c:v>
                </c:pt>
                <c:pt idx="107">
                  <c:v>5.3211880818516289E-3</c:v>
                </c:pt>
                <c:pt idx="108">
                  <c:v>5.2725929830973366E-3</c:v>
                </c:pt>
                <c:pt idx="109">
                  <c:v>5.2248774275953803E-3</c:v>
                </c:pt>
                <c:pt idx="110">
                  <c:v>5.1780177507037232E-3</c:v>
                </c:pt>
                <c:pt idx="111">
                  <c:v>5.1319911291808429E-3</c:v>
                </c:pt>
                <c:pt idx="112">
                  <c:v>5.0867755441786362E-3</c:v>
                </c:pt>
                <c:pt idx="113">
                  <c:v>5.0423497459792244E-3</c:v>
                </c:pt>
                <c:pt idx="114">
                  <c:v>4.9986932208091811E-3</c:v>
                </c:pt>
                <c:pt idx="115">
                  <c:v>4.9557861592607064E-3</c:v>
                </c:pt>
                <c:pt idx="116">
                  <c:v>4.9136094262253903E-3</c:v>
                </c:pt>
                <c:pt idx="117">
                  <c:v>4.8721445325182041E-3</c:v>
                </c:pt>
                <c:pt idx="118">
                  <c:v>4.831373607859301E-3</c:v>
                </c:pt>
                <c:pt idx="119">
                  <c:v>4.7912793751206852E-3</c:v>
                </c:pt>
                <c:pt idx="120">
                  <c:v>4.7518451259814746E-3</c:v>
                </c:pt>
                <c:pt idx="121">
                  <c:v>4.7130546977314043E-3</c:v>
                </c:pt>
                <c:pt idx="122">
                  <c:v>4.6748924510747244E-3</c:v>
                </c:pt>
                <c:pt idx="123">
                  <c:v>4.637343249244621E-3</c:v>
                </c:pt>
                <c:pt idx="124">
                  <c:v>4.6003924378791522E-3</c:v>
                </c:pt>
                <c:pt idx="125">
                  <c:v>4.5640258260125953E-3</c:v>
                </c:pt>
                <c:pt idx="126">
                  <c:v>4.5282296678391511E-3</c:v>
                </c:pt>
                <c:pt idx="127">
                  <c:v>4.4929906454682852E-3</c:v>
                </c:pt>
                <c:pt idx="128">
                  <c:v>4.4582958523990837E-3</c:v>
                </c:pt>
                <c:pt idx="129">
                  <c:v>4.4241327776671814E-3</c:v>
                </c:pt>
                <c:pt idx="130">
                  <c:v>4.3904892909118346E-3</c:v>
                </c:pt>
                <c:pt idx="131">
                  <c:v>4.357353627931649E-3</c:v>
                </c:pt>
                <c:pt idx="132">
                  <c:v>4.3247143770349366E-3</c:v>
                </c:pt>
                <c:pt idx="133">
                  <c:v>4.2925604659091784E-3</c:v>
                </c:pt>
                <c:pt idx="134">
                  <c:v>4.2608811490767399E-3</c:v>
                </c:pt>
                <c:pt idx="135">
                  <c:v>4.2296659960034356E-3</c:v>
                </c:pt>
                <c:pt idx="136">
                  <c:v>4.1989048794762946E-3</c:v>
                </c:pt>
                <c:pt idx="137">
                  <c:v>4.1685879648521284E-3</c:v>
                </c:pt>
                <c:pt idx="138">
                  <c:v>4.1387056994687029E-3</c:v>
                </c:pt>
                <c:pt idx="139">
                  <c:v>4.1092488025996562E-3</c:v>
                </c:pt>
                <c:pt idx="140">
                  <c:v>4.0802082558908286E-3</c:v>
                </c:pt>
                <c:pt idx="141">
                  <c:v>4.0515752940990064E-3</c:v>
                </c:pt>
                <c:pt idx="142">
                  <c:v>4.0233413963547474E-3</c:v>
                </c:pt>
                <c:pt idx="143">
                  <c:v>3.9954982776527473E-3</c:v>
                </c:pt>
                <c:pt idx="144">
                  <c:v>3.9680378807014291E-3</c:v>
                </c:pt>
                <c:pt idx="145">
                  <c:v>3.9409523682403351E-3</c:v>
                </c:pt>
                <c:pt idx="146">
                  <c:v>3.9142341155687056E-3</c:v>
                </c:pt>
                <c:pt idx="147">
                  <c:v>3.887875703297699E-3</c:v>
                </c:pt>
                <c:pt idx="148">
                  <c:v>3.8618699106250328E-3</c:v>
                </c:pt>
                <c:pt idx="149">
                  <c:v>3.8362097085768718E-3</c:v>
                </c:pt>
                <c:pt idx="150">
                  <c:v>3.810888253853346E-3</c:v>
                </c:pt>
                <c:pt idx="151">
                  <c:v>3.7858988825685072E-3</c:v>
                </c:pt>
                <c:pt idx="152">
                  <c:v>3.7612351045526412E-3</c:v>
                </c:pt>
                <c:pt idx="153">
                  <c:v>3.7368905976117831E-3</c:v>
                </c:pt>
                <c:pt idx="154">
                  <c:v>3.7128592022120759E-3</c:v>
                </c:pt>
                <c:pt idx="155">
                  <c:v>3.689134916237324E-3</c:v>
                </c:pt>
                <c:pt idx="156">
                  <c:v>3.6657118900237781E-3</c:v>
                </c:pt>
                <c:pt idx="157">
                  <c:v>3.642584421519897E-3</c:v>
                </c:pt>
                <c:pt idx="158">
                  <c:v>3.6197469516858921E-3</c:v>
                </c:pt>
                <c:pt idx="159">
                  <c:v>3.597194059943987E-3</c:v>
                </c:pt>
                <c:pt idx="160">
                  <c:v>3.574920460100947E-3</c:v>
                </c:pt>
                <c:pt idx="161">
                  <c:v>3.552920996028365E-3</c:v>
                </c:pt>
                <c:pt idx="162">
                  <c:v>3.5311906376699871E-3</c:v>
                </c:pt>
                <c:pt idx="163">
                  <c:v>3.509724477403798E-3</c:v>
                </c:pt>
                <c:pt idx="164">
                  <c:v>3.488517726118454E-3</c:v>
                </c:pt>
                <c:pt idx="165">
                  <c:v>3.4675657098042359E-3</c:v>
                </c:pt>
                <c:pt idx="166">
                  <c:v>3.4468638660801331E-3</c:v>
                </c:pt>
                <c:pt idx="167">
                  <c:v>3.4264077408595541E-3</c:v>
                </c:pt>
                <c:pt idx="168">
                  <c:v>3.4061929851384289E-3</c:v>
                </c:pt>
                <c:pt idx="169">
                  <c:v>3.386215351953535E-3</c:v>
                </c:pt>
                <c:pt idx="170">
                  <c:v>3.366470693428711E-3</c:v>
                </c:pt>
                <c:pt idx="171">
                  <c:v>3.3469549578551859E-3</c:v>
                </c:pt>
                <c:pt idx="172">
                  <c:v>3.3276641868828232E-3</c:v>
                </c:pt>
                <c:pt idx="173">
                  <c:v>3.3085945129692801E-3</c:v>
                </c:pt>
                <c:pt idx="174">
                  <c:v>3.2897421566666701E-3</c:v>
                </c:pt>
                <c:pt idx="175">
                  <c:v>3.2711034242557079E-3</c:v>
                </c:pt>
                <c:pt idx="176">
                  <c:v>3.2526747051340962E-3</c:v>
                </c:pt>
                <c:pt idx="177">
                  <c:v>3.2344524697456179E-3</c:v>
                </c:pt>
                <c:pt idx="178">
                  <c:v>3.2164332671115142E-3</c:v>
                </c:pt>
                <c:pt idx="179">
                  <c:v>3.1986137226834152E-3</c:v>
                </c:pt>
                <c:pt idx="180">
                  <c:v>3.1809905363970048E-3</c:v>
                </c:pt>
                <c:pt idx="181">
                  <c:v>3.1635604804134102E-3</c:v>
                </c:pt>
                <c:pt idx="182">
                  <c:v>3.1463203973179118E-3</c:v>
                </c:pt>
                <c:pt idx="183">
                  <c:v>3.1292671981248592E-3</c:v>
                </c:pt>
                <c:pt idx="184">
                  <c:v>3.1123978605142682E-3</c:v>
                </c:pt>
                <c:pt idx="185">
                  <c:v>3.0957094268475429E-3</c:v>
                </c:pt>
                <c:pt idx="186">
                  <c:v>3.0791990027156878E-3</c:v>
                </c:pt>
                <c:pt idx="187">
                  <c:v>3.0628637551020641E-3</c:v>
                </c:pt>
                <c:pt idx="188">
                  <c:v>3.0467009107687502E-3</c:v>
                </c:pt>
                <c:pt idx="189">
                  <c:v>3.030707754695835E-3</c:v>
                </c:pt>
                <c:pt idx="190">
                  <c:v>3.0148816285794208E-3</c:v>
                </c:pt>
                <c:pt idx="191">
                  <c:v>2.9992199293571698E-3</c:v>
                </c:pt>
                <c:pt idx="192">
                  <c:v>2.9837201078403452E-3</c:v>
                </c:pt>
                <c:pt idx="193">
                  <c:v>2.968379667122966E-3</c:v>
                </c:pt>
                <c:pt idx="194">
                  <c:v>2.953196161552749E-3</c:v>
                </c:pt>
                <c:pt idx="195">
                  <c:v>2.9381671951159071E-3</c:v>
                </c:pt>
                <c:pt idx="196">
                  <c:v>2.9232904204329262E-3</c:v>
                </c:pt>
                <c:pt idx="197">
                  <c:v>2.9085635373977221E-3</c:v>
                </c:pt>
                <c:pt idx="198">
                  <c:v>2.893984291948841E-3</c:v>
                </c:pt>
                <c:pt idx="199">
                  <c:v>2.8795504750572269E-3</c:v>
                </c:pt>
                <c:pt idx="200">
                  <c:v>2.8652599215919839E-3</c:v>
                </c:pt>
                <c:pt idx="201">
                  <c:v>2.8511105091011419E-3</c:v>
                </c:pt>
                <c:pt idx="202">
                  <c:v>2.8371001568981719E-3</c:v>
                </c:pt>
                <c:pt idx="203">
                  <c:v>2.8232268249559489E-3</c:v>
                </c:pt>
                <c:pt idx="204">
                  <c:v>2.8094885130382908E-3</c:v>
                </c:pt>
                <c:pt idx="205">
                  <c:v>2.7958832595631018E-3</c:v>
                </c:pt>
                <c:pt idx="206">
                  <c:v>2.7824091407884438E-3</c:v>
                </c:pt>
                <c:pt idx="207">
                  <c:v>2.7690642698934911E-3</c:v>
                </c:pt>
                <c:pt idx="208">
                  <c:v>2.755846796113715E-3</c:v>
                </c:pt>
                <c:pt idx="209">
                  <c:v>2.742754903812475E-3</c:v>
                </c:pt>
                <c:pt idx="210">
                  <c:v>2.729786811651278E-3</c:v>
                </c:pt>
                <c:pt idx="211">
                  <c:v>2.7169407719454248E-3</c:v>
                </c:pt>
                <c:pt idx="212">
                  <c:v>2.7042150695558418E-3</c:v>
                </c:pt>
                <c:pt idx="213">
                  <c:v>2.691608021581944E-3</c:v>
                </c:pt>
                <c:pt idx="214">
                  <c:v>2.6791179761015281E-3</c:v>
                </c:pt>
                <c:pt idx="215">
                  <c:v>2.666743311926084E-3</c:v>
                </c:pt>
                <c:pt idx="216">
                  <c:v>2.654482437607734E-3</c:v>
                </c:pt>
                <c:pt idx="217">
                  <c:v>2.642333790725023E-3</c:v>
                </c:pt>
                <c:pt idx="218">
                  <c:v>2.630295837458007E-3</c:v>
                </c:pt>
                <c:pt idx="219">
                  <c:v>2.6183670718271219E-3</c:v>
                </c:pt>
                <c:pt idx="220">
                  <c:v>2.6065460149268371E-3</c:v>
                </c:pt>
                <c:pt idx="221">
                  <c:v>2.5948312145830511E-3</c:v>
                </c:pt>
                <c:pt idx="222">
                  <c:v>2.583221244460259E-3</c:v>
                </c:pt>
                <c:pt idx="223">
                  <c:v>2.571714703724525E-3</c:v>
                </c:pt>
                <c:pt idx="224">
                  <c:v>2.5603102164135911E-3</c:v>
                </c:pt>
                <c:pt idx="225">
                  <c:v>2.5490064308107021E-3</c:v>
                </c:pt>
                <c:pt idx="226">
                  <c:v>2.53780201899825E-3</c:v>
                </c:pt>
                <c:pt idx="227">
                  <c:v>2.5266956762901669E-3</c:v>
                </c:pt>
                <c:pt idx="228">
                  <c:v>2.5156861207166958E-3</c:v>
                </c:pt>
                <c:pt idx="229">
                  <c:v>2.504772092564013E-3</c:v>
                </c:pt>
                <c:pt idx="230">
                  <c:v>2.493952353971202E-3</c:v>
                </c:pt>
                <c:pt idx="231">
                  <c:v>2.4832256881847049E-3</c:v>
                </c:pt>
                <c:pt idx="232">
                  <c:v>2.4725908995382549E-3</c:v>
                </c:pt>
                <c:pt idx="233">
                  <c:v>2.462046812557646E-3</c:v>
                </c:pt>
                <c:pt idx="234">
                  <c:v>2.451592271840147E-3</c:v>
                </c:pt>
                <c:pt idx="235">
                  <c:v>2.4412261414592622E-3</c:v>
                </c:pt>
                <c:pt idx="236">
                  <c:v>2.4309473047032411E-3</c:v>
                </c:pt>
                <c:pt idx="237">
                  <c:v>2.4207546635159221E-3</c:v>
                </c:pt>
                <c:pt idx="238">
                  <c:v>2.410647138184297E-3</c:v>
                </c:pt>
                <c:pt idx="239">
                  <c:v>2.4006236670032748E-3</c:v>
                </c:pt>
                <c:pt idx="240">
                  <c:v>2.390683205824605E-3</c:v>
                </c:pt>
                <c:pt idx="241">
                  <c:v>2.3808247277203008E-3</c:v>
                </c:pt>
                <c:pt idx="242">
                  <c:v>2.371047222623992E-3</c:v>
                </c:pt>
                <c:pt idx="243">
                  <c:v>2.3613496969970959E-3</c:v>
                </c:pt>
                <c:pt idx="244">
                  <c:v>2.351731173521034E-3</c:v>
                </c:pt>
                <c:pt idx="245">
                  <c:v>2.3421906906745042E-3</c:v>
                </c:pt>
                <c:pt idx="246">
                  <c:v>2.3327273025261748E-3</c:v>
                </c:pt>
                <c:pt idx="247">
                  <c:v>2.323340078414898E-3</c:v>
                </c:pt>
                <c:pt idx="248">
                  <c:v>2.3140281024666728E-3</c:v>
                </c:pt>
                <c:pt idx="249">
                  <c:v>2.3047904735222701E-3</c:v>
                </c:pt>
                <c:pt idx="250">
                  <c:v>2.295626304713702E-3</c:v>
                </c:pt>
                <c:pt idx="251">
                  <c:v>2.286534723359815E-3</c:v>
                </c:pt>
                <c:pt idx="252">
                  <c:v>2.2775148703128622E-3</c:v>
                </c:pt>
                <c:pt idx="253">
                  <c:v>2.268565900111469E-3</c:v>
                </c:pt>
                <c:pt idx="254">
                  <c:v>2.259686980488838E-3</c:v>
                </c:pt>
                <c:pt idx="255">
                  <c:v>2.2508772921064259E-3</c:v>
                </c:pt>
                <c:pt idx="256">
                  <c:v>2.2421360284207272E-3</c:v>
                </c:pt>
                <c:pt idx="257">
                  <c:v>2.2334623952894261E-3</c:v>
                </c:pt>
                <c:pt idx="258">
                  <c:v>2.224855610908948E-3</c:v>
                </c:pt>
                <c:pt idx="259">
                  <c:v>2.216314905391422E-3</c:v>
                </c:pt>
                <c:pt idx="260">
                  <c:v>2.2078395206755821E-3</c:v>
                </c:pt>
                <c:pt idx="261">
                  <c:v>2.199428710276158E-3</c:v>
                </c:pt>
                <c:pt idx="262">
                  <c:v>2.1910817389183281E-3</c:v>
                </c:pt>
                <c:pt idx="263">
                  <c:v>2.1827978826139652E-3</c:v>
                </c:pt>
                <c:pt idx="264">
                  <c:v>2.174576428170618E-3</c:v>
                </c:pt>
                <c:pt idx="265">
                  <c:v>2.16641667309206E-3</c:v>
                </c:pt>
                <c:pt idx="266">
                  <c:v>2.1583179254695988E-3</c:v>
                </c:pt>
                <c:pt idx="267">
                  <c:v>2.150279503657552E-3</c:v>
                </c:pt>
                <c:pt idx="268">
                  <c:v>2.142300736090225E-3</c:v>
                </c:pt>
                <c:pt idx="269">
                  <c:v>2.1343809611923401E-3</c:v>
                </c:pt>
                <c:pt idx="270">
                  <c:v>2.126519527124541E-3</c:v>
                </c:pt>
                <c:pt idx="271">
                  <c:v>2.1187157916218451E-3</c:v>
                </c:pt>
                <c:pt idx="272">
                  <c:v>2.11096912171735E-3</c:v>
                </c:pt>
                <c:pt idx="273">
                  <c:v>2.1032788938234988E-3</c:v>
                </c:pt>
                <c:pt idx="274">
                  <c:v>2.09564449327966E-3</c:v>
                </c:pt>
                <c:pt idx="275">
                  <c:v>2.0880653143627481E-3</c:v>
                </c:pt>
                <c:pt idx="276">
                  <c:v>2.0805407600792501E-3</c:v>
                </c:pt>
                <c:pt idx="277">
                  <c:v>2.0730702421080881E-3</c:v>
                </c:pt>
                <c:pt idx="278">
                  <c:v>2.0656531803071288E-3</c:v>
                </c:pt>
                <c:pt idx="279">
                  <c:v>2.0582890030670471E-3</c:v>
                </c:pt>
                <c:pt idx="280">
                  <c:v>2.0509771467477019E-3</c:v>
                </c:pt>
                <c:pt idx="281">
                  <c:v>2.043717055695185E-3</c:v>
                </c:pt>
                <c:pt idx="282">
                  <c:v>2.0365081822000999E-3</c:v>
                </c:pt>
                <c:pt idx="283">
                  <c:v>2.029349986122149E-3</c:v>
                </c:pt>
                <c:pt idx="284">
                  <c:v>2.0222419349964359E-3</c:v>
                </c:pt>
                <c:pt idx="285">
                  <c:v>2.0151835036969728E-3</c:v>
                </c:pt>
                <c:pt idx="286">
                  <c:v>2.0081741744758688E-3</c:v>
                </c:pt>
                <c:pt idx="287">
                  <c:v>2.0012134367773382E-3</c:v>
                </c:pt>
                <c:pt idx="288">
                  <c:v>1.994300786988121E-3</c:v>
                </c:pt>
                <c:pt idx="289">
                  <c:v>1.9874357285698391E-3</c:v>
                </c:pt>
                <c:pt idx="290">
                  <c:v>1.9806177716857982E-3</c:v>
                </c:pt>
                <c:pt idx="291">
                  <c:v>1.9738464333225389E-3</c:v>
                </c:pt>
                <c:pt idx="292">
                  <c:v>1.9671212368458902E-3</c:v>
                </c:pt>
                <c:pt idx="293">
                  <c:v>1.96044171233716E-3</c:v>
                </c:pt>
                <c:pt idx="294">
                  <c:v>1.9538073960236142E-3</c:v>
                </c:pt>
                <c:pt idx="295">
                  <c:v>1.947217830549126E-3</c:v>
                </c:pt>
                <c:pt idx="296">
                  <c:v>1.9406725646749961E-3</c:v>
                </c:pt>
                <c:pt idx="297">
                  <c:v>1.934171153086237E-3</c:v>
                </c:pt>
                <c:pt idx="298">
                  <c:v>1.927713156593968E-3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9-474B-9950-AA0C72736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36976"/>
        <c:axId val="1604140336"/>
      </c:scatterChart>
      <c:valAx>
        <c:axId val="1604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40336"/>
        <c:crosses val="autoZero"/>
        <c:crossBetween val="midCat"/>
      </c:valAx>
      <c:valAx>
        <c:axId val="1604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 vs alpha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Sheet1!$H$2:$H$300</c:f>
              <c:numCache>
                <c:formatCode>0_);[Red]\(0\)</c:formatCode>
                <c:ptCount val="299"/>
                <c:pt idx="0">
                  <c:v>6.5997545000000005E-2</c:v>
                </c:pt>
                <c:pt idx="1">
                  <c:v>0.109148595</c:v>
                </c:pt>
                <c:pt idx="2">
                  <c:v>0.15247862100000001</c:v>
                </c:pt>
                <c:pt idx="3">
                  <c:v>0.19586922300000001</c:v>
                </c:pt>
                <c:pt idx="4">
                  <c:v>0.23928750500000001</c:v>
                </c:pt>
                <c:pt idx="5">
                  <c:v>0.282720729</c:v>
                </c:pt>
                <c:pt idx="6">
                  <c:v>0.32616292899999999</c:v>
                </c:pt>
                <c:pt idx="7">
                  <c:v>0.36961094300000003</c:v>
                </c:pt>
                <c:pt idx="8">
                  <c:v>0.41306293700000002</c:v>
                </c:pt>
                <c:pt idx="9">
                  <c:v>0.45651777399999999</c:v>
                </c:pt>
                <c:pt idx="10">
                  <c:v>0.49997471399999999</c:v>
                </c:pt>
                <c:pt idx="11">
                  <c:v>0.54343325200000003</c:v>
                </c:pt>
                <c:pt idx="12">
                  <c:v>0.58689303400000004</c:v>
                </c:pt>
                <c:pt idx="13">
                  <c:v>0.63035380200000002</c:v>
                </c:pt>
                <c:pt idx="14">
                  <c:v>0.67381536500000005</c:v>
                </c:pt>
                <c:pt idx="15">
                  <c:v>0.717277579</c:v>
                </c:pt>
                <c:pt idx="16">
                  <c:v>0.76074033200000002</c:v>
                </c:pt>
                <c:pt idx="17">
                  <c:v>0.804203538</c:v>
                </c:pt>
                <c:pt idx="18">
                  <c:v>0.84766712499999997</c:v>
                </c:pt>
                <c:pt idx="19">
                  <c:v>0.89113103900000001</c:v>
                </c:pt>
                <c:pt idx="20">
                  <c:v>0.934595234</c:v>
                </c:pt>
                <c:pt idx="21">
                  <c:v>0.97805967199999999</c:v>
                </c:pt>
                <c:pt idx="22">
                  <c:v>1.021524323</c:v>
                </c:pt>
                <c:pt idx="23">
                  <c:v>1.0649891600000001</c:v>
                </c:pt>
                <c:pt idx="24">
                  <c:v>1.108454161</c:v>
                </c:pt>
                <c:pt idx="25">
                  <c:v>1.1519193080000001</c:v>
                </c:pt>
                <c:pt idx="26">
                  <c:v>1.195384585</c:v>
                </c:pt>
                <c:pt idx="27">
                  <c:v>1.238849979</c:v>
                </c:pt>
                <c:pt idx="28">
                  <c:v>1.282315477</c:v>
                </c:pt>
                <c:pt idx="29">
                  <c:v>1.325781069</c:v>
                </c:pt>
                <c:pt idx="30">
                  <c:v>1.369246746</c:v>
                </c:pt>
                <c:pt idx="31">
                  <c:v>1.4127125</c:v>
                </c:pt>
                <c:pt idx="32">
                  <c:v>1.456178325</c:v>
                </c:pt>
                <c:pt idx="33">
                  <c:v>1.4996442139999999</c:v>
                </c:pt>
                <c:pt idx="34">
                  <c:v>1.5431101629999999</c:v>
                </c:pt>
                <c:pt idx="35">
                  <c:v>1.5865761650000001</c:v>
                </c:pt>
                <c:pt idx="36">
                  <c:v>1.6300422160000001</c:v>
                </c:pt>
                <c:pt idx="37">
                  <c:v>1.673508314</c:v>
                </c:pt>
                <c:pt idx="38">
                  <c:v>1.716974454</c:v>
                </c:pt>
                <c:pt idx="39">
                  <c:v>1.760440633</c:v>
                </c:pt>
                <c:pt idx="40">
                  <c:v>1.803906848</c:v>
                </c:pt>
                <c:pt idx="41">
                  <c:v>1.847373098</c:v>
                </c:pt>
                <c:pt idx="42">
                  <c:v>1.890839379</c:v>
                </c:pt>
                <c:pt idx="43">
                  <c:v>1.9343056890000001</c:v>
                </c:pt>
                <c:pt idx="44">
                  <c:v>1.977772026</c:v>
                </c:pt>
                <c:pt idx="45">
                  <c:v>2.0212383890000001</c:v>
                </c:pt>
                <c:pt idx="46">
                  <c:v>2.0647047770000002</c:v>
                </c:pt>
                <c:pt idx="47">
                  <c:v>2.1081711859999999</c:v>
                </c:pt>
                <c:pt idx="48">
                  <c:v>2.151637617</c:v>
                </c:pt>
                <c:pt idx="49">
                  <c:v>2.195104068</c:v>
                </c:pt>
                <c:pt idx="50">
                  <c:v>2.2385705379999998</c:v>
                </c:pt>
                <c:pt idx="51">
                  <c:v>2.2820370250000002</c:v>
                </c:pt>
                <c:pt idx="52">
                  <c:v>2.3255035290000001</c:v>
                </c:pt>
                <c:pt idx="53">
                  <c:v>2.3689700490000001</c:v>
                </c:pt>
                <c:pt idx="54">
                  <c:v>2.4124365829999999</c:v>
                </c:pt>
                <c:pt idx="55">
                  <c:v>2.455903132</c:v>
                </c:pt>
                <c:pt idx="56">
                  <c:v>2.4993696939999999</c:v>
                </c:pt>
                <c:pt idx="57">
                  <c:v>2.5428362689999999</c:v>
                </c:pt>
                <c:pt idx="58">
                  <c:v>2.5863028560000001</c:v>
                </c:pt>
                <c:pt idx="59">
                  <c:v>2.6297694549999999</c:v>
                </c:pt>
                <c:pt idx="60">
                  <c:v>2.6732360640000001</c:v>
                </c:pt>
                <c:pt idx="61">
                  <c:v>2.7167026839999999</c:v>
                </c:pt>
                <c:pt idx="62">
                  <c:v>2.760169313</c:v>
                </c:pt>
                <c:pt idx="63">
                  <c:v>2.803635952</c:v>
                </c:pt>
                <c:pt idx="64">
                  <c:v>2.8471025999999999</c:v>
                </c:pt>
                <c:pt idx="65">
                  <c:v>2.8905692570000001</c:v>
                </c:pt>
                <c:pt idx="66">
                  <c:v>2.9340359220000001</c:v>
                </c:pt>
                <c:pt idx="67">
                  <c:v>2.9775025949999998</c:v>
                </c:pt>
                <c:pt idx="68">
                  <c:v>3.0209692750000001</c:v>
                </c:pt>
                <c:pt idx="69">
                  <c:v>3.0644359620000001</c:v>
                </c:pt>
                <c:pt idx="70">
                  <c:v>3.1079026569999999</c:v>
                </c:pt>
                <c:pt idx="71">
                  <c:v>3.1513693580000002</c:v>
                </c:pt>
                <c:pt idx="72">
                  <c:v>3.1948360650000001</c:v>
                </c:pt>
                <c:pt idx="73">
                  <c:v>3.238302778</c:v>
                </c:pt>
                <c:pt idx="74">
                  <c:v>3.281769497</c:v>
                </c:pt>
                <c:pt idx="75">
                  <c:v>3.325236222</c:v>
                </c:pt>
                <c:pt idx="76">
                  <c:v>3.368702952</c:v>
                </c:pt>
                <c:pt idx="77">
                  <c:v>3.4121696880000001</c:v>
                </c:pt>
                <c:pt idx="78">
                  <c:v>3.455636428</c:v>
                </c:pt>
                <c:pt idx="79">
                  <c:v>3.499103173</c:v>
                </c:pt>
                <c:pt idx="80">
                  <c:v>3.5425699229999998</c:v>
                </c:pt>
                <c:pt idx="81">
                  <c:v>3.5860366770000001</c:v>
                </c:pt>
                <c:pt idx="82">
                  <c:v>3.6295034359999998</c:v>
                </c:pt>
                <c:pt idx="83">
                  <c:v>3.6729701989999999</c:v>
                </c:pt>
                <c:pt idx="84">
                  <c:v>3.7164369650000002</c:v>
                </c:pt>
                <c:pt idx="85">
                  <c:v>3.7599037360000001</c:v>
                </c:pt>
                <c:pt idx="86">
                  <c:v>3.8033705100000001</c:v>
                </c:pt>
                <c:pt idx="87">
                  <c:v>3.8468372880000001</c:v>
                </c:pt>
                <c:pt idx="88">
                  <c:v>3.89030407</c:v>
                </c:pt>
                <c:pt idx="89">
                  <c:v>3.933770854</c:v>
                </c:pt>
                <c:pt idx="90">
                  <c:v>3.977237642</c:v>
                </c:pt>
                <c:pt idx="91">
                  <c:v>4.0207044339999998</c:v>
                </c:pt>
                <c:pt idx="92">
                  <c:v>4.0641712280000002</c:v>
                </c:pt>
                <c:pt idx="93">
                  <c:v>4.107638025</c:v>
                </c:pt>
                <c:pt idx="94">
                  <c:v>4.151104825</c:v>
                </c:pt>
                <c:pt idx="95">
                  <c:v>4.1945716280000003</c:v>
                </c:pt>
                <c:pt idx="96">
                  <c:v>4.2380384329999998</c:v>
                </c:pt>
                <c:pt idx="97">
                  <c:v>4.2815052419999997</c:v>
                </c:pt>
                <c:pt idx="98">
                  <c:v>4.3249720519999997</c:v>
                </c:pt>
                <c:pt idx="99">
                  <c:v>4.3684388649999999</c:v>
                </c:pt>
                <c:pt idx="100">
                  <c:v>4.4119056810000004</c:v>
                </c:pt>
                <c:pt idx="101">
                  <c:v>4.4553724990000001</c:v>
                </c:pt>
                <c:pt idx="102">
                  <c:v>4.498839319</c:v>
                </c:pt>
                <c:pt idx="103">
                  <c:v>4.5423061410000001</c:v>
                </c:pt>
                <c:pt idx="104">
                  <c:v>4.5857729650000003</c:v>
                </c:pt>
                <c:pt idx="105">
                  <c:v>4.6292397919999999</c:v>
                </c:pt>
                <c:pt idx="106">
                  <c:v>4.6727066199999996</c:v>
                </c:pt>
                <c:pt idx="107">
                  <c:v>4.7161734500000003</c:v>
                </c:pt>
                <c:pt idx="108">
                  <c:v>4.7596402820000003</c:v>
                </c:pt>
                <c:pt idx="109">
                  <c:v>4.8031071159999996</c:v>
                </c:pt>
                <c:pt idx="110">
                  <c:v>4.846573952</c:v>
                </c:pt>
                <c:pt idx="111">
                  <c:v>4.8900407899999996</c:v>
                </c:pt>
                <c:pt idx="112">
                  <c:v>4.9335076290000002</c:v>
                </c:pt>
                <c:pt idx="113">
                  <c:v>4.97697447</c:v>
                </c:pt>
                <c:pt idx="114">
                  <c:v>5.0204413130000001</c:v>
                </c:pt>
                <c:pt idx="115">
                  <c:v>5.0639081570000002</c:v>
                </c:pt>
                <c:pt idx="116">
                  <c:v>5.1073750020000004</c:v>
                </c:pt>
                <c:pt idx="117">
                  <c:v>5.1508418499999999</c:v>
                </c:pt>
                <c:pt idx="118">
                  <c:v>5.1943086980000004</c:v>
                </c:pt>
                <c:pt idx="119">
                  <c:v>5.2377755480000001</c:v>
                </c:pt>
                <c:pt idx="120">
                  <c:v>5.2812424</c:v>
                </c:pt>
                <c:pt idx="121">
                  <c:v>5.3247092519999999</c:v>
                </c:pt>
                <c:pt idx="122">
                  <c:v>5.3681761059999999</c:v>
                </c:pt>
                <c:pt idx="123">
                  <c:v>5.4116429620000002</c:v>
                </c:pt>
                <c:pt idx="124">
                  <c:v>5.4551098180000004</c:v>
                </c:pt>
                <c:pt idx="125">
                  <c:v>5.4985766759999999</c:v>
                </c:pt>
                <c:pt idx="126">
                  <c:v>5.5420435350000004</c:v>
                </c:pt>
                <c:pt idx="127">
                  <c:v>5.585510395</c:v>
                </c:pt>
                <c:pt idx="128">
                  <c:v>5.6289772559999998</c:v>
                </c:pt>
                <c:pt idx="129">
                  <c:v>5.6724441189999997</c:v>
                </c:pt>
                <c:pt idx="130">
                  <c:v>5.7159109819999996</c:v>
                </c:pt>
                <c:pt idx="131">
                  <c:v>5.7593778469999997</c:v>
                </c:pt>
                <c:pt idx="132">
                  <c:v>5.8028447119999997</c:v>
                </c:pt>
                <c:pt idx="133">
                  <c:v>5.846311579</c:v>
                </c:pt>
                <c:pt idx="134">
                  <c:v>5.8897784470000003</c:v>
                </c:pt>
                <c:pt idx="135">
                  <c:v>5.9332453149999997</c:v>
                </c:pt>
                <c:pt idx="136">
                  <c:v>5.9767121850000002</c:v>
                </c:pt>
                <c:pt idx="137">
                  <c:v>6.0201790549999998</c:v>
                </c:pt>
                <c:pt idx="138">
                  <c:v>6.0636459260000004</c:v>
                </c:pt>
                <c:pt idx="139">
                  <c:v>6.1071127990000003</c:v>
                </c:pt>
                <c:pt idx="140">
                  <c:v>6.1505796720000001</c:v>
                </c:pt>
                <c:pt idx="141">
                  <c:v>6.194046546</c:v>
                </c:pt>
                <c:pt idx="142">
                  <c:v>6.2375134210000001</c:v>
                </c:pt>
                <c:pt idx="143">
                  <c:v>6.2809802960000001</c:v>
                </c:pt>
                <c:pt idx="144">
                  <c:v>6.3244471730000003</c:v>
                </c:pt>
                <c:pt idx="145">
                  <c:v>6.3679140500000004</c:v>
                </c:pt>
                <c:pt idx="146">
                  <c:v>6.4113809279999998</c:v>
                </c:pt>
                <c:pt idx="147">
                  <c:v>6.4548478060000001</c:v>
                </c:pt>
                <c:pt idx="148">
                  <c:v>6.4983146859999996</c:v>
                </c:pt>
                <c:pt idx="149">
                  <c:v>6.541781566</c:v>
                </c:pt>
                <c:pt idx="150">
                  <c:v>6.5852484469999997</c:v>
                </c:pt>
                <c:pt idx="151">
                  <c:v>6.6287153290000003</c:v>
                </c:pt>
                <c:pt idx="152">
                  <c:v>6.672182211</c:v>
                </c:pt>
                <c:pt idx="153">
                  <c:v>6.7156490939999998</c:v>
                </c:pt>
                <c:pt idx="154">
                  <c:v>6.7591159770000004</c:v>
                </c:pt>
                <c:pt idx="155">
                  <c:v>6.8025828620000004</c:v>
                </c:pt>
                <c:pt idx="156">
                  <c:v>6.8460497460000003</c:v>
                </c:pt>
                <c:pt idx="157">
                  <c:v>6.8895166320000003</c:v>
                </c:pt>
                <c:pt idx="158">
                  <c:v>6.9329835180000003</c:v>
                </c:pt>
                <c:pt idx="159">
                  <c:v>6.9764504049999996</c:v>
                </c:pt>
                <c:pt idx="160">
                  <c:v>7.0199172919999997</c:v>
                </c:pt>
                <c:pt idx="161">
                  <c:v>7.0633841799999999</c:v>
                </c:pt>
                <c:pt idx="162">
                  <c:v>7.1068510680000001</c:v>
                </c:pt>
                <c:pt idx="163">
                  <c:v>7.1503179570000004</c:v>
                </c:pt>
                <c:pt idx="164">
                  <c:v>7.1937848469999999</c:v>
                </c:pt>
                <c:pt idx="165">
                  <c:v>7.2372517370000002</c:v>
                </c:pt>
                <c:pt idx="166">
                  <c:v>7.2807186269999997</c:v>
                </c:pt>
                <c:pt idx="167">
                  <c:v>7.3241855180000002</c:v>
                </c:pt>
                <c:pt idx="168">
                  <c:v>7.3676524099999998</c:v>
                </c:pt>
                <c:pt idx="169">
                  <c:v>7.4111193020000004</c:v>
                </c:pt>
                <c:pt idx="170">
                  <c:v>7.454586194</c:v>
                </c:pt>
                <c:pt idx="171">
                  <c:v>7.4980530869999997</c:v>
                </c:pt>
                <c:pt idx="172">
                  <c:v>7.5415199810000004</c:v>
                </c:pt>
                <c:pt idx="173">
                  <c:v>7.5849868750000002</c:v>
                </c:pt>
                <c:pt idx="174">
                  <c:v>7.6284537690000001</c:v>
                </c:pt>
                <c:pt idx="175">
                  <c:v>7.6719206639999999</c:v>
                </c:pt>
                <c:pt idx="176">
                  <c:v>7.7153875599999999</c:v>
                </c:pt>
                <c:pt idx="177">
                  <c:v>7.7588544549999998</c:v>
                </c:pt>
                <c:pt idx="178">
                  <c:v>7.8023213509999998</c:v>
                </c:pt>
                <c:pt idx="179">
                  <c:v>7.8457882479999999</c:v>
                </c:pt>
                <c:pt idx="180">
                  <c:v>7.8892551449999999</c:v>
                </c:pt>
                <c:pt idx="181">
                  <c:v>7.932722042</c:v>
                </c:pt>
                <c:pt idx="182">
                  <c:v>7.9761889400000001</c:v>
                </c:pt>
                <c:pt idx="183">
                  <c:v>8.0196558380000003</c:v>
                </c:pt>
                <c:pt idx="184">
                  <c:v>8.0631227370000005</c:v>
                </c:pt>
                <c:pt idx="185">
                  <c:v>8.1065896360000007</c:v>
                </c:pt>
                <c:pt idx="186">
                  <c:v>8.1500565349999992</c:v>
                </c:pt>
                <c:pt idx="187">
                  <c:v>8.1935234349999995</c:v>
                </c:pt>
                <c:pt idx="188">
                  <c:v>8.2369903349999998</c:v>
                </c:pt>
                <c:pt idx="189">
                  <c:v>8.2804572350000001</c:v>
                </c:pt>
                <c:pt idx="190">
                  <c:v>8.3239241360000005</c:v>
                </c:pt>
                <c:pt idx="191">
                  <c:v>8.3673910370000009</c:v>
                </c:pt>
                <c:pt idx="192">
                  <c:v>8.4108579389999996</c:v>
                </c:pt>
                <c:pt idx="193">
                  <c:v>8.45432484</c:v>
                </c:pt>
                <c:pt idx="194">
                  <c:v>8.4977917420000004</c:v>
                </c:pt>
                <c:pt idx="195">
                  <c:v>8.5412586449999992</c:v>
                </c:pt>
                <c:pt idx="196">
                  <c:v>8.5847255479999998</c:v>
                </c:pt>
                <c:pt idx="197">
                  <c:v>8.6281924510000003</c:v>
                </c:pt>
                <c:pt idx="198">
                  <c:v>8.6716593540000009</c:v>
                </c:pt>
                <c:pt idx="199">
                  <c:v>8.7151262579999997</c:v>
                </c:pt>
                <c:pt idx="200">
                  <c:v>8.7585931620000004</c:v>
                </c:pt>
                <c:pt idx="201">
                  <c:v>8.8020600659999992</c:v>
                </c:pt>
                <c:pt idx="202">
                  <c:v>8.8455269699999999</c:v>
                </c:pt>
                <c:pt idx="203">
                  <c:v>8.8889938750000006</c:v>
                </c:pt>
                <c:pt idx="204">
                  <c:v>8.9324607799999995</c:v>
                </c:pt>
                <c:pt idx="205">
                  <c:v>8.9759276860000003</c:v>
                </c:pt>
                <c:pt idx="206">
                  <c:v>9.0193945909999993</c:v>
                </c:pt>
                <c:pt idx="207">
                  <c:v>9.0628614970000001</c:v>
                </c:pt>
                <c:pt idx="208">
                  <c:v>9.1063284039999992</c:v>
                </c:pt>
                <c:pt idx="209">
                  <c:v>9.14979531</c:v>
                </c:pt>
                <c:pt idx="210">
                  <c:v>9.1932622169999991</c:v>
                </c:pt>
                <c:pt idx="211">
                  <c:v>9.236729124</c:v>
                </c:pt>
                <c:pt idx="212">
                  <c:v>9.2801960309999991</c:v>
                </c:pt>
                <c:pt idx="213">
                  <c:v>9.323662938</c:v>
                </c:pt>
                <c:pt idx="214">
                  <c:v>9.3671298459999992</c:v>
                </c:pt>
                <c:pt idx="215">
                  <c:v>9.4105967540000002</c:v>
                </c:pt>
                <c:pt idx="216">
                  <c:v>9.4540636619999994</c:v>
                </c:pt>
                <c:pt idx="217">
                  <c:v>9.4975305710000004</c:v>
                </c:pt>
                <c:pt idx="218">
                  <c:v>9.5409974789999996</c:v>
                </c:pt>
                <c:pt idx="219">
                  <c:v>9.5844643880000007</c:v>
                </c:pt>
                <c:pt idx="220">
                  <c:v>9.6279312969999999</c:v>
                </c:pt>
                <c:pt idx="221">
                  <c:v>9.6713982069999993</c:v>
                </c:pt>
                <c:pt idx="222">
                  <c:v>9.7148651160000004</c:v>
                </c:pt>
                <c:pt idx="223">
                  <c:v>9.7583320259999997</c:v>
                </c:pt>
                <c:pt idx="224">
                  <c:v>9.8017989360000009</c:v>
                </c:pt>
                <c:pt idx="225">
                  <c:v>9.8452658460000002</c:v>
                </c:pt>
                <c:pt idx="226">
                  <c:v>9.8887327569999997</c:v>
                </c:pt>
                <c:pt idx="227">
                  <c:v>9.9321996670000008</c:v>
                </c:pt>
                <c:pt idx="228">
                  <c:v>9.9756665780000002</c:v>
                </c:pt>
                <c:pt idx="229">
                  <c:v>10.01913349</c:v>
                </c:pt>
                <c:pt idx="230">
                  <c:v>10.062600399999999</c:v>
                </c:pt>
                <c:pt idx="231">
                  <c:v>10.10606731</c:v>
                </c:pt>
                <c:pt idx="232">
                  <c:v>10.14953422</c:v>
                </c:pt>
                <c:pt idx="233">
                  <c:v>10.19300114</c:v>
                </c:pt>
                <c:pt idx="234">
                  <c:v>10.236468049999999</c:v>
                </c:pt>
                <c:pt idx="235">
                  <c:v>10.27993496</c:v>
                </c:pt>
                <c:pt idx="236">
                  <c:v>10.32340187</c:v>
                </c:pt>
                <c:pt idx="237">
                  <c:v>10.366868780000001</c:v>
                </c:pt>
                <c:pt idx="238">
                  <c:v>10.410335699999999</c:v>
                </c:pt>
                <c:pt idx="239">
                  <c:v>10.45380261</c:v>
                </c:pt>
                <c:pt idx="240">
                  <c:v>10.49726952</c:v>
                </c:pt>
                <c:pt idx="241">
                  <c:v>10.54073644</c:v>
                </c:pt>
                <c:pt idx="242">
                  <c:v>10.584203349999999</c:v>
                </c:pt>
                <c:pt idx="243">
                  <c:v>10.62767026</c:v>
                </c:pt>
                <c:pt idx="244">
                  <c:v>10.671137180000001</c:v>
                </c:pt>
                <c:pt idx="245">
                  <c:v>10.71460409</c:v>
                </c:pt>
                <c:pt idx="246">
                  <c:v>10.758070999999999</c:v>
                </c:pt>
                <c:pt idx="247">
                  <c:v>10.801537919999999</c:v>
                </c:pt>
                <c:pt idx="248">
                  <c:v>10.845004830000001</c:v>
                </c:pt>
                <c:pt idx="249">
                  <c:v>10.888471750000001</c:v>
                </c:pt>
                <c:pt idx="250">
                  <c:v>10.93193866</c:v>
                </c:pt>
                <c:pt idx="251">
                  <c:v>10.97540558</c:v>
                </c:pt>
                <c:pt idx="252">
                  <c:v>11.01887249</c:v>
                </c:pt>
                <c:pt idx="253">
                  <c:v>11.06233941</c:v>
                </c:pt>
                <c:pt idx="254">
                  <c:v>11.105806319999999</c:v>
                </c:pt>
                <c:pt idx="255">
                  <c:v>11.149273239999999</c:v>
                </c:pt>
                <c:pt idx="256">
                  <c:v>11.192740150000001</c:v>
                </c:pt>
                <c:pt idx="257">
                  <c:v>11.236207070000001</c:v>
                </c:pt>
                <c:pt idx="258">
                  <c:v>11.279673989999999</c:v>
                </c:pt>
                <c:pt idx="259">
                  <c:v>11.3231409</c:v>
                </c:pt>
                <c:pt idx="260">
                  <c:v>11.36660782</c:v>
                </c:pt>
                <c:pt idx="261">
                  <c:v>11.41007473</c:v>
                </c:pt>
                <c:pt idx="262">
                  <c:v>11.45354165</c:v>
                </c:pt>
                <c:pt idx="263">
                  <c:v>11.49700857</c:v>
                </c:pt>
                <c:pt idx="264">
                  <c:v>11.54047548</c:v>
                </c:pt>
                <c:pt idx="265">
                  <c:v>11.5839424</c:v>
                </c:pt>
                <c:pt idx="266">
                  <c:v>11.62740932</c:v>
                </c:pt>
                <c:pt idx="267">
                  <c:v>11.670876229999999</c:v>
                </c:pt>
                <c:pt idx="268">
                  <c:v>11.714343149999999</c:v>
                </c:pt>
                <c:pt idx="269">
                  <c:v>11.75781007</c:v>
                </c:pt>
                <c:pt idx="270">
                  <c:v>11.80127699</c:v>
                </c:pt>
                <c:pt idx="271">
                  <c:v>11.844743899999999</c:v>
                </c:pt>
                <c:pt idx="272">
                  <c:v>11.888210819999999</c:v>
                </c:pt>
                <c:pt idx="273">
                  <c:v>11.93167774</c:v>
                </c:pt>
                <c:pt idx="274">
                  <c:v>11.97514466</c:v>
                </c:pt>
                <c:pt idx="275">
                  <c:v>12.018611569999999</c:v>
                </c:pt>
                <c:pt idx="276">
                  <c:v>12.062078489999999</c:v>
                </c:pt>
                <c:pt idx="277">
                  <c:v>12.10554541</c:v>
                </c:pt>
                <c:pt idx="278">
                  <c:v>12.14901233</c:v>
                </c:pt>
                <c:pt idx="279">
                  <c:v>12.19247925</c:v>
                </c:pt>
                <c:pt idx="280">
                  <c:v>12.23594617</c:v>
                </c:pt>
                <c:pt idx="281">
                  <c:v>12.279413079999999</c:v>
                </c:pt>
                <c:pt idx="282">
                  <c:v>12.32288</c:v>
                </c:pt>
                <c:pt idx="283">
                  <c:v>12.36634692</c:v>
                </c:pt>
                <c:pt idx="284">
                  <c:v>12.40981384</c:v>
                </c:pt>
                <c:pt idx="285">
                  <c:v>12.45328076</c:v>
                </c:pt>
                <c:pt idx="286">
                  <c:v>12.49674768</c:v>
                </c:pt>
                <c:pt idx="287">
                  <c:v>12.540214600000001</c:v>
                </c:pt>
                <c:pt idx="288">
                  <c:v>12.583681520000001</c:v>
                </c:pt>
                <c:pt idx="289">
                  <c:v>12.627148439999999</c:v>
                </c:pt>
                <c:pt idx="290">
                  <c:v>12.670615359999999</c:v>
                </c:pt>
                <c:pt idx="291">
                  <c:v>12.71408228</c:v>
                </c:pt>
                <c:pt idx="292">
                  <c:v>12.7575492</c:v>
                </c:pt>
                <c:pt idx="293">
                  <c:v>12.80101612</c:v>
                </c:pt>
                <c:pt idx="294">
                  <c:v>12.84448304</c:v>
                </c:pt>
                <c:pt idx="295">
                  <c:v>12.88794996</c:v>
                </c:pt>
                <c:pt idx="296">
                  <c:v>12.93141688</c:v>
                </c:pt>
                <c:pt idx="297">
                  <c:v>12.974883800000001</c:v>
                </c:pt>
                <c:pt idx="298">
                  <c:v>13.018350720000001</c:v>
                </c:pt>
              </c:numCache>
            </c:numRef>
          </c:xVal>
          <c:yVal>
            <c:numRef>
              <c:f>Sheet1!$D$2:$D$300</c:f>
              <c:numCache>
                <c:formatCode>General</c:formatCode>
                <c:ptCount val="299"/>
                <c:pt idx="0">
                  <c:v>3.0285901522819909E-2</c:v>
                </c:pt>
                <c:pt idx="1">
                  <c:v>4.9896293578279467E-2</c:v>
                </c:pt>
                <c:pt idx="2">
                  <c:v>6.9629351106769044E-2</c:v>
                </c:pt>
                <c:pt idx="3">
                  <c:v>8.9403887494613504E-2</c:v>
                </c:pt>
                <c:pt idx="4">
                  <c:v>0.1091973708641803</c:v>
                </c:pt>
                <c:pt idx="5">
                  <c:v>0.12900108003055261</c:v>
                </c:pt>
                <c:pt idx="6">
                  <c:v>0.14881093251286531</c:v>
                </c:pt>
                <c:pt idx="7">
                  <c:v>0.1686247631949345</c:v>
                </c:pt>
                <c:pt idx="8">
                  <c:v>0.18844131720683849</c:v>
                </c:pt>
                <c:pt idx="9">
                  <c:v>0.2082598171507076</c:v>
                </c:pt>
                <c:pt idx="10">
                  <c:v>0.22807975576439321</c:v>
                </c:pt>
                <c:pt idx="11">
                  <c:v>0.24790078797847331</c:v>
                </c:pt>
                <c:pt idx="12">
                  <c:v>0.26772267089667168</c:v>
                </c:pt>
                <c:pt idx="13">
                  <c:v>0.28754522858960357</c:v>
                </c:pt>
                <c:pt idx="14">
                  <c:v>0.30736833050616058</c:v>
                </c:pt>
                <c:pt idx="15">
                  <c:v>0.32719187773008412</c:v>
                </c:pt>
                <c:pt idx="16">
                  <c:v>0.34701579394581678</c:v>
                </c:pt>
                <c:pt idx="17">
                  <c:v>0.36684001933273802</c:v>
                </c:pt>
                <c:pt idx="18">
                  <c:v>0.38666450633740962</c:v>
                </c:pt>
                <c:pt idx="19">
                  <c:v>0.40648921668248561</c:v>
                </c:pt>
                <c:pt idx="20">
                  <c:v>0.42631411921029921</c:v>
                </c:pt>
                <c:pt idx="21">
                  <c:v>0.44613918830092181</c:v>
                </c:pt>
                <c:pt idx="22">
                  <c:v>0.46596440269459849</c:v>
                </c:pt>
                <c:pt idx="23">
                  <c:v>0.4857897446016497</c:v>
                </c:pt>
                <c:pt idx="24">
                  <c:v>0.5056151990225175</c:v>
                </c:pt>
                <c:pt idx="25">
                  <c:v>0.52544075322161321</c:v>
                </c:pt>
                <c:pt idx="26">
                  <c:v>0.54526639631499063</c:v>
                </c:pt>
                <c:pt idx="27">
                  <c:v>0.56509211894657219</c:v>
                </c:pt>
                <c:pt idx="28">
                  <c:v>0.58491791302848717</c:v>
                </c:pt>
                <c:pt idx="29">
                  <c:v>0.60474377153364056</c:v>
                </c:pt>
                <c:pt idx="30">
                  <c:v>0.62456968832675142</c:v>
                </c:pt>
                <c:pt idx="31">
                  <c:v>0.64439565802804322</c:v>
                </c:pt>
                <c:pt idx="32">
                  <c:v>0.66422167589982828</c:v>
                </c:pt>
                <c:pt idx="33">
                  <c:v>0.68404773775343264</c:v>
                </c:pt>
                <c:pt idx="34">
                  <c:v>0.70387383987266172</c:v>
                </c:pt>
                <c:pt idx="35">
                  <c:v>0.72369997894806182</c:v>
                </c:pt>
                <c:pt idx="36">
                  <c:v>0.74352615202358097</c:v>
                </c:pt>
                <c:pt idx="37">
                  <c:v>0.76335235644936839</c:v>
                </c:pt>
                <c:pt idx="38">
                  <c:v>0.78317858984533706</c:v>
                </c:pt>
                <c:pt idx="39">
                  <c:v>0.80300485006526268</c:v>
                </c:pt>
                <c:pt idx="40">
                  <c:v>0.82283113517008977</c:v>
                </c:pt>
                <c:pt idx="41">
                  <c:v>0.84265744340328996</c:v>
                </c:pt>
                <c:pt idx="42">
                  <c:v>0.86248377317002067</c:v>
                </c:pt>
                <c:pt idx="43">
                  <c:v>0.88231012301861034</c:v>
                </c:pt>
                <c:pt idx="44">
                  <c:v>0.90213649162515064</c:v>
                </c:pt>
                <c:pt idx="45">
                  <c:v>0.92196287777932762</c:v>
                </c:pt>
                <c:pt idx="46">
                  <c:v>0.94178928037299614</c:v>
                </c:pt>
                <c:pt idx="47">
                  <c:v>0.96161569838953942</c:v>
                </c:pt>
                <c:pt idx="48">
                  <c:v>0.98144213089320942</c:v>
                </c:pt>
                <c:pt idx="49">
                  <c:v>1.001268577025328</c:v>
                </c:pt>
                <c:pt idx="50">
                  <c:v>1.021095035990246</c:v>
                </c:pt>
                <c:pt idx="51">
                  <c:v>1.04092150705548</c:v>
                </c:pt>
                <c:pt idx="52">
                  <c:v>1.0607479895421721</c:v>
                </c:pt>
                <c:pt idx="53">
                  <c:v>1.0805744828219299</c:v>
                </c:pt>
                <c:pt idx="54">
                  <c:v>1.1004009863123061</c:v>
                </c:pt>
                <c:pt idx="55">
                  <c:v>1.1202274994693291</c:v>
                </c:pt>
                <c:pt idx="56">
                  <c:v>1.1400540217887249</c:v>
                </c:pt>
                <c:pt idx="57">
                  <c:v>1.159880552802917</c:v>
                </c:pt>
                <c:pt idx="58">
                  <c:v>1.17970709207159</c:v>
                </c:pt>
                <c:pt idx="59">
                  <c:v>1.199533639185943</c:v>
                </c:pt>
                <c:pt idx="60">
                  <c:v>1.2193601937627601</c:v>
                </c:pt>
                <c:pt idx="61">
                  <c:v>1.2391867554443901</c:v>
                </c:pt>
                <c:pt idx="62">
                  <c:v>1.2590133238948289</c:v>
                </c:pt>
                <c:pt idx="63">
                  <c:v>1.2788398987994309</c:v>
                </c:pt>
                <c:pt idx="64">
                  <c:v>1.298666479862979</c:v>
                </c:pt>
                <c:pt idx="65">
                  <c:v>1.318493066807114</c:v>
                </c:pt>
                <c:pt idx="66">
                  <c:v>1.3383196593717679</c:v>
                </c:pt>
                <c:pt idx="67">
                  <c:v>1.3581462573096661</c:v>
                </c:pt>
                <c:pt idx="68">
                  <c:v>1.377972860387304</c:v>
                </c:pt>
                <c:pt idx="69">
                  <c:v>1.39779946838717</c:v>
                </c:pt>
                <c:pt idx="70">
                  <c:v>1.4176260811050829</c:v>
                </c:pt>
                <c:pt idx="71">
                  <c:v>1.4374526983426921</c:v>
                </c:pt>
                <c:pt idx="72">
                  <c:v>1.457279319918356</c:v>
                </c:pt>
                <c:pt idx="73">
                  <c:v>1.4771059456535589</c:v>
                </c:pt>
                <c:pt idx="74">
                  <c:v>1.4969325753878999</c:v>
                </c:pt>
                <c:pt idx="75">
                  <c:v>1.516759208960389</c:v>
                </c:pt>
                <c:pt idx="76">
                  <c:v>1.5365858462243751</c:v>
                </c:pt>
                <c:pt idx="77">
                  <c:v>1.5564124870367171</c:v>
                </c:pt>
                <c:pt idx="78">
                  <c:v>1.576239131264447</c:v>
                </c:pt>
                <c:pt idx="79">
                  <c:v>1.5960657787836761</c:v>
                </c:pt>
                <c:pt idx="80">
                  <c:v>1.6158924294693839</c:v>
                </c:pt>
                <c:pt idx="81">
                  <c:v>1.6357190832069419</c:v>
                </c:pt>
                <c:pt idx="82">
                  <c:v>1.655545739890018</c:v>
                </c:pt>
                <c:pt idx="83">
                  <c:v>1.675372399409683</c:v>
                </c:pt>
                <c:pt idx="84">
                  <c:v>1.695199061667829</c:v>
                </c:pt>
                <c:pt idx="85">
                  <c:v>1.7150257265702249</c:v>
                </c:pt>
                <c:pt idx="86">
                  <c:v>1.734852394025814</c:v>
                </c:pt>
                <c:pt idx="87">
                  <c:v>1.7546790639483709</c:v>
                </c:pt>
                <c:pt idx="88">
                  <c:v>1.7745057362515451</c:v>
                </c:pt>
                <c:pt idx="89">
                  <c:v>1.794332410861694</c:v>
                </c:pt>
                <c:pt idx="90">
                  <c:v>1.814159087702885</c:v>
                </c:pt>
                <c:pt idx="91">
                  <c:v>1.833985766703047</c:v>
                </c:pt>
                <c:pt idx="92">
                  <c:v>1.853812447784966</c:v>
                </c:pt>
                <c:pt idx="93">
                  <c:v>1.8736391308893141</c:v>
                </c:pt>
                <c:pt idx="94">
                  <c:v>1.8934658159533571</c:v>
                </c:pt>
                <c:pt idx="95">
                  <c:v>1.9132925029199821</c:v>
                </c:pt>
                <c:pt idx="96">
                  <c:v>1.933119191717408</c:v>
                </c:pt>
                <c:pt idx="97">
                  <c:v>1.952945882301983</c:v>
                </c:pt>
                <c:pt idx="98">
                  <c:v>1.9727725746114231</c:v>
                </c:pt>
                <c:pt idx="99">
                  <c:v>1.992599268603743</c:v>
                </c:pt>
                <c:pt idx="100">
                  <c:v>2.0124259642231701</c:v>
                </c:pt>
                <c:pt idx="101">
                  <c:v>2.0322526614159262</c:v>
                </c:pt>
                <c:pt idx="102">
                  <c:v>2.0520793601508531</c:v>
                </c:pt>
                <c:pt idx="103">
                  <c:v>2.0719060603740012</c:v>
                </c:pt>
                <c:pt idx="104">
                  <c:v>2.091732762040186</c:v>
                </c:pt>
                <c:pt idx="105">
                  <c:v>2.1115594651223959</c:v>
                </c:pt>
                <c:pt idx="106">
                  <c:v>2.131386169564141</c:v>
                </c:pt>
                <c:pt idx="107">
                  <c:v>2.151212875339541</c:v>
                </c:pt>
                <c:pt idx="108">
                  <c:v>2.1710395824099571</c:v>
                </c:pt>
                <c:pt idx="109">
                  <c:v>2.190866290734081</c:v>
                </c:pt>
                <c:pt idx="110">
                  <c:v>2.2106930002845688</c:v>
                </c:pt>
                <c:pt idx="111">
                  <c:v>2.2305197110353361</c:v>
                </c:pt>
                <c:pt idx="112">
                  <c:v>2.2503464229356052</c:v>
                </c:pt>
                <c:pt idx="113">
                  <c:v>2.2701731359705319</c:v>
                </c:pt>
                <c:pt idx="114">
                  <c:v>2.2899998501125438</c:v>
                </c:pt>
                <c:pt idx="115">
                  <c:v>2.3098265653177061</c:v>
                </c:pt>
                <c:pt idx="116">
                  <c:v>2.3296532815693061</c:v>
                </c:pt>
                <c:pt idx="117">
                  <c:v>2.3494799988427451</c:v>
                </c:pt>
                <c:pt idx="118">
                  <c:v>2.3693067171013982</c:v>
                </c:pt>
                <c:pt idx="119">
                  <c:v>2.3891334363323962</c:v>
                </c:pt>
                <c:pt idx="120">
                  <c:v>2.40896015651485</c:v>
                </c:pt>
                <c:pt idx="121">
                  <c:v>2.4287868776092041</c:v>
                </c:pt>
                <c:pt idx="122">
                  <c:v>2.448613599612365</c:v>
                </c:pt>
                <c:pt idx="123">
                  <c:v>2.4684403224873699</c:v>
                </c:pt>
                <c:pt idx="124">
                  <c:v>2.4882670462177559</c:v>
                </c:pt>
                <c:pt idx="125">
                  <c:v>2.5080937707761839</c:v>
                </c:pt>
                <c:pt idx="126">
                  <c:v>2.5279204961597199</c:v>
                </c:pt>
                <c:pt idx="127">
                  <c:v>2.547747222347347</c:v>
                </c:pt>
                <c:pt idx="128">
                  <c:v>2.5675739493014751</c:v>
                </c:pt>
                <c:pt idx="129">
                  <c:v>2.5874006770205971</c:v>
                </c:pt>
                <c:pt idx="130">
                  <c:v>2.6072274054774951</c:v>
                </c:pt>
                <c:pt idx="131">
                  <c:v>2.6270541346676439</c:v>
                </c:pt>
                <c:pt idx="132">
                  <c:v>2.6468808645708379</c:v>
                </c:pt>
                <c:pt idx="133">
                  <c:v>2.6667075951668382</c:v>
                </c:pt>
                <c:pt idx="134">
                  <c:v>2.6865343264486832</c:v>
                </c:pt>
                <c:pt idx="135">
                  <c:v>2.7063610583717002</c:v>
                </c:pt>
                <c:pt idx="136">
                  <c:v>2.7261877909623511</c:v>
                </c:pt>
                <c:pt idx="137">
                  <c:v>2.7460145241899321</c:v>
                </c:pt>
                <c:pt idx="138">
                  <c:v>2.7658412580329679</c:v>
                </c:pt>
                <c:pt idx="139">
                  <c:v>2.785667992486486</c:v>
                </c:pt>
                <c:pt idx="140">
                  <c:v>2.805494727531443</c:v>
                </c:pt>
                <c:pt idx="141">
                  <c:v>2.825321463172747</c:v>
                </c:pt>
                <c:pt idx="142">
                  <c:v>2.8451481993821321</c:v>
                </c:pt>
                <c:pt idx="143">
                  <c:v>2.8649749361355799</c:v>
                </c:pt>
                <c:pt idx="144">
                  <c:v>2.884801673446304</c:v>
                </c:pt>
                <c:pt idx="145">
                  <c:v>2.90462841130033</c:v>
                </c:pt>
                <c:pt idx="146">
                  <c:v>2.924455149665079</c:v>
                </c:pt>
                <c:pt idx="147">
                  <c:v>2.944281888557593</c:v>
                </c:pt>
                <c:pt idx="148">
                  <c:v>2.964108627937823</c:v>
                </c:pt>
                <c:pt idx="149">
                  <c:v>2.983935367831597</c:v>
                </c:pt>
                <c:pt idx="150">
                  <c:v>3.0037621081937429</c:v>
                </c:pt>
                <c:pt idx="151">
                  <c:v>3.0235888490434002</c:v>
                </c:pt>
                <c:pt idx="152">
                  <c:v>3.0434155903476929</c:v>
                </c:pt>
                <c:pt idx="153">
                  <c:v>3.063242332117269</c:v>
                </c:pt>
                <c:pt idx="154">
                  <c:v>3.0830690743367151</c:v>
                </c:pt>
                <c:pt idx="155">
                  <c:v>3.1028958170021239</c:v>
                </c:pt>
                <c:pt idx="156">
                  <c:v>3.122722560094068</c:v>
                </c:pt>
                <c:pt idx="157">
                  <c:v>3.1425493036038681</c:v>
                </c:pt>
                <c:pt idx="158">
                  <c:v>3.1623760475104761</c:v>
                </c:pt>
                <c:pt idx="159">
                  <c:v>3.1822027918637321</c:v>
                </c:pt>
                <c:pt idx="160">
                  <c:v>3.2020295365991451</c:v>
                </c:pt>
                <c:pt idx="161">
                  <c:v>3.2218562817019119</c:v>
                </c:pt>
                <c:pt idx="162">
                  <c:v>3.241683027222412</c:v>
                </c:pt>
                <c:pt idx="163">
                  <c:v>3.2615097730978708</c:v>
                </c:pt>
                <c:pt idx="164">
                  <c:v>3.281336519360206</c:v>
                </c:pt>
                <c:pt idx="165">
                  <c:v>3.301163265996288</c:v>
                </c:pt>
                <c:pt idx="166">
                  <c:v>3.3209900129822669</c:v>
                </c:pt>
                <c:pt idx="167">
                  <c:v>3.3408167603045862</c:v>
                </c:pt>
                <c:pt idx="168">
                  <c:v>3.3606435079774459</c:v>
                </c:pt>
                <c:pt idx="169">
                  <c:v>3.3804702560037838</c:v>
                </c:pt>
                <c:pt idx="170">
                  <c:v>3.400297004353559</c:v>
                </c:pt>
                <c:pt idx="171">
                  <c:v>3.4201237530114081</c:v>
                </c:pt>
                <c:pt idx="172">
                  <c:v>3.439950502015733</c:v>
                </c:pt>
                <c:pt idx="173">
                  <c:v>3.4597772513303831</c:v>
                </c:pt>
                <c:pt idx="174">
                  <c:v>3.479604000976007</c:v>
                </c:pt>
                <c:pt idx="175">
                  <c:v>3.499430750892909</c:v>
                </c:pt>
                <c:pt idx="176">
                  <c:v>3.5192575011516061</c:v>
                </c:pt>
                <c:pt idx="177">
                  <c:v>3.5390842516749981</c:v>
                </c:pt>
                <c:pt idx="178">
                  <c:v>3.5589110024677511</c:v>
                </c:pt>
                <c:pt idx="179">
                  <c:v>3.5787377535855049</c:v>
                </c:pt>
                <c:pt idx="180">
                  <c:v>3.5985645049562112</c:v>
                </c:pt>
                <c:pt idx="181">
                  <c:v>3.6183912566258689</c:v>
                </c:pt>
                <c:pt idx="182">
                  <c:v>3.6382180085690359</c:v>
                </c:pt>
                <c:pt idx="183">
                  <c:v>3.6580447607880608</c:v>
                </c:pt>
                <c:pt idx="184">
                  <c:v>3.6778715132180761</c:v>
                </c:pt>
                <c:pt idx="185">
                  <c:v>3.697698265960494</c:v>
                </c:pt>
                <c:pt idx="186">
                  <c:v>3.717525018957851</c:v>
                </c:pt>
                <c:pt idx="187">
                  <c:v>3.7373517721848342</c:v>
                </c:pt>
                <c:pt idx="188">
                  <c:v>3.7571785256414949</c:v>
                </c:pt>
                <c:pt idx="189">
                  <c:v>3.777005279343626</c:v>
                </c:pt>
                <c:pt idx="190">
                  <c:v>3.7968320333004222</c:v>
                </c:pt>
                <c:pt idx="191">
                  <c:v>3.816658787515975</c:v>
                </c:pt>
                <c:pt idx="192">
                  <c:v>3.836485541912666</c:v>
                </c:pt>
                <c:pt idx="193">
                  <c:v>3.856312296596577</c:v>
                </c:pt>
                <c:pt idx="194">
                  <c:v>3.876139051457868</c:v>
                </c:pt>
                <c:pt idx="195">
                  <c:v>3.8959658065776281</c:v>
                </c:pt>
                <c:pt idx="196">
                  <c:v>3.915792561894639</c:v>
                </c:pt>
                <c:pt idx="197">
                  <c:v>3.935619317385481</c:v>
                </c:pt>
                <c:pt idx="198">
                  <c:v>3.9554460731256582</c:v>
                </c:pt>
                <c:pt idx="199">
                  <c:v>3.9752728291043322</c:v>
                </c:pt>
                <c:pt idx="200">
                  <c:v>3.995099585245554</c:v>
                </c:pt>
                <c:pt idx="201">
                  <c:v>4.0149263415972376</c:v>
                </c:pt>
                <c:pt idx="202">
                  <c:v>4.0347530981420689</c:v>
                </c:pt>
                <c:pt idx="203">
                  <c:v>4.0545798549177734</c:v>
                </c:pt>
                <c:pt idx="204">
                  <c:v>4.0744066118432647</c:v>
                </c:pt>
                <c:pt idx="205">
                  <c:v>4.0942333689696468</c:v>
                </c:pt>
                <c:pt idx="206">
                  <c:v>4.1140601263097327</c:v>
                </c:pt>
                <c:pt idx="207">
                  <c:v>4.1338868838544229</c:v>
                </c:pt>
                <c:pt idx="208">
                  <c:v>4.1537136415475224</c:v>
                </c:pt>
                <c:pt idx="209">
                  <c:v>4.1735403993941276</c:v>
                </c:pt>
                <c:pt idx="210">
                  <c:v>4.1933671574610356</c:v>
                </c:pt>
                <c:pt idx="211">
                  <c:v>4.2131939156259373</c:v>
                </c:pt>
                <c:pt idx="212">
                  <c:v>4.2330206740739094</c:v>
                </c:pt>
                <c:pt idx="213">
                  <c:v>4.2528474325912597</c:v>
                </c:pt>
                <c:pt idx="214">
                  <c:v>4.272674191372885</c:v>
                </c:pt>
                <c:pt idx="215">
                  <c:v>4.2925009502741016</c:v>
                </c:pt>
                <c:pt idx="216">
                  <c:v>4.31232770926822</c:v>
                </c:pt>
                <c:pt idx="217">
                  <c:v>4.332154468504493</c:v>
                </c:pt>
                <c:pt idx="218">
                  <c:v>4.3519812279211854</c:v>
                </c:pt>
                <c:pt idx="219">
                  <c:v>4.3718079874286921</c:v>
                </c:pt>
                <c:pt idx="220">
                  <c:v>4.3916347471412438</c:v>
                </c:pt>
                <c:pt idx="221">
                  <c:v>4.4114615069296699</c:v>
                </c:pt>
                <c:pt idx="222">
                  <c:v>4.431288266921606</c:v>
                </c:pt>
                <c:pt idx="223">
                  <c:v>4.4511150270945974</c:v>
                </c:pt>
                <c:pt idx="224">
                  <c:v>4.4709417873852493</c:v>
                </c:pt>
                <c:pt idx="225">
                  <c:v>4.4907685478242101</c:v>
                </c:pt>
                <c:pt idx="226">
                  <c:v>4.5105953083845156</c:v>
                </c:pt>
                <c:pt idx="227">
                  <c:v>4.5304220690642856</c:v>
                </c:pt>
                <c:pt idx="228">
                  <c:v>4.5502488299037447</c:v>
                </c:pt>
                <c:pt idx="229">
                  <c:v>4.5700755909270496</c:v>
                </c:pt>
                <c:pt idx="230">
                  <c:v>4.5899023519989823</c:v>
                </c:pt>
                <c:pt idx="231">
                  <c:v>4.6097291133331257</c:v>
                </c:pt>
                <c:pt idx="232">
                  <c:v>4.6295558746906966</c:v>
                </c:pt>
                <c:pt idx="233">
                  <c:v>4.6493826362122972</c:v>
                </c:pt>
                <c:pt idx="234">
                  <c:v>4.6692093978392437</c:v>
                </c:pt>
                <c:pt idx="235">
                  <c:v>4.6890361596375563</c:v>
                </c:pt>
                <c:pt idx="236">
                  <c:v>4.7088629215128721</c:v>
                </c:pt>
                <c:pt idx="237">
                  <c:v>4.7286896835124397</c:v>
                </c:pt>
                <c:pt idx="238">
                  <c:v>4.7485164456763727</c:v>
                </c:pt>
                <c:pt idx="239">
                  <c:v>4.7683432079458834</c:v>
                </c:pt>
                <c:pt idx="240">
                  <c:v>4.7881699703179121</c:v>
                </c:pt>
                <c:pt idx="241">
                  <c:v>4.8079967327949804</c:v>
                </c:pt>
                <c:pt idx="242">
                  <c:v>4.8278234953955756</c:v>
                </c:pt>
                <c:pt idx="243">
                  <c:v>4.847650258131921</c:v>
                </c:pt>
                <c:pt idx="244">
                  <c:v>4.8674770209501714</c:v>
                </c:pt>
                <c:pt idx="245">
                  <c:v>4.8873037839246232</c:v>
                </c:pt>
                <c:pt idx="246">
                  <c:v>4.9071305470250879</c:v>
                </c:pt>
                <c:pt idx="247">
                  <c:v>4.9269573101277047</c:v>
                </c:pt>
                <c:pt idx="248">
                  <c:v>4.9467840733914752</c:v>
                </c:pt>
                <c:pt idx="249">
                  <c:v>4.9666108367839383</c:v>
                </c:pt>
                <c:pt idx="250">
                  <c:v>4.9864376003617954</c:v>
                </c:pt>
                <c:pt idx="251">
                  <c:v>5.0062643638817077</c:v>
                </c:pt>
                <c:pt idx="252">
                  <c:v>5.026091127618816</c:v>
                </c:pt>
                <c:pt idx="253">
                  <c:v>5.0459178914454101</c:v>
                </c:pt>
                <c:pt idx="254">
                  <c:v>5.0657446553250116</c:v>
                </c:pt>
                <c:pt idx="255">
                  <c:v>5.0855714193347836</c:v>
                </c:pt>
                <c:pt idx="256">
                  <c:v>5.1053981833995046</c:v>
                </c:pt>
                <c:pt idx="257">
                  <c:v>5.1252249476244307</c:v>
                </c:pt>
                <c:pt idx="258">
                  <c:v>5.1450517118906713</c:v>
                </c:pt>
                <c:pt idx="259">
                  <c:v>5.1648784762847697</c:v>
                </c:pt>
                <c:pt idx="260">
                  <c:v>5.1847052407768999</c:v>
                </c:pt>
                <c:pt idx="261">
                  <c:v>5.20453200527857</c:v>
                </c:pt>
                <c:pt idx="262">
                  <c:v>5.2243587699893652</c:v>
                </c:pt>
                <c:pt idx="263">
                  <c:v>5.2441855347101427</c:v>
                </c:pt>
                <c:pt idx="264">
                  <c:v>5.2640122995094938</c:v>
                </c:pt>
                <c:pt idx="265">
                  <c:v>5.2838390644774069</c:v>
                </c:pt>
                <c:pt idx="266">
                  <c:v>5.3036658295014529</c:v>
                </c:pt>
                <c:pt idx="267">
                  <c:v>5.3234925945782843</c:v>
                </c:pt>
                <c:pt idx="268">
                  <c:v>5.3433193597972828</c:v>
                </c:pt>
                <c:pt idx="269">
                  <c:v>5.3631461250991599</c:v>
                </c:pt>
                <c:pt idx="270">
                  <c:v>5.3829728904516916</c:v>
                </c:pt>
                <c:pt idx="271">
                  <c:v>5.4027996558066178</c:v>
                </c:pt>
                <c:pt idx="272">
                  <c:v>5.4226264213594941</c:v>
                </c:pt>
                <c:pt idx="273">
                  <c:v>5.4424531869056221</c:v>
                </c:pt>
                <c:pt idx="274">
                  <c:v>5.4622799525682497</c:v>
                </c:pt>
                <c:pt idx="275">
                  <c:v>5.4821067183528731</c:v>
                </c:pt>
                <c:pt idx="276">
                  <c:v>5.5019334842692027</c:v>
                </c:pt>
                <c:pt idx="277">
                  <c:v>5.5217602500659746</c:v>
                </c:pt>
                <c:pt idx="278">
                  <c:v>5.541587016133966</c:v>
                </c:pt>
                <c:pt idx="279">
                  <c:v>5.5614137821674943</c:v>
                </c:pt>
                <c:pt idx="280">
                  <c:v>5.5812405482732279</c:v>
                </c:pt>
                <c:pt idx="281">
                  <c:v>5.6010673145443217</c:v>
                </c:pt>
                <c:pt idx="282">
                  <c:v>5.6208940807865382</c:v>
                </c:pt>
                <c:pt idx="283">
                  <c:v>5.640720847168545</c:v>
                </c:pt>
                <c:pt idx="284">
                  <c:v>5.6605476135597446</c:v>
                </c:pt>
                <c:pt idx="285">
                  <c:v>5.680374380095917</c:v>
                </c:pt>
                <c:pt idx="286">
                  <c:v>5.7002011467103708</c:v>
                </c:pt>
                <c:pt idx="287">
                  <c:v>5.720027913296506</c:v>
                </c:pt>
                <c:pt idx="288">
                  <c:v>5.7398546800679782</c:v>
                </c:pt>
                <c:pt idx="289">
                  <c:v>5.7596814468343602</c:v>
                </c:pt>
                <c:pt idx="290">
                  <c:v>5.7795082137290494</c:v>
                </c:pt>
                <c:pt idx="291">
                  <c:v>5.7993349805211336</c:v>
                </c:pt>
                <c:pt idx="292">
                  <c:v>5.8191617475785877</c:v>
                </c:pt>
                <c:pt idx="293">
                  <c:v>5.8389885145546021</c:v>
                </c:pt>
                <c:pt idx="294">
                  <c:v>5.8588152817424692</c:v>
                </c:pt>
                <c:pt idx="295">
                  <c:v>5.8786420489564746</c:v>
                </c:pt>
                <c:pt idx="296">
                  <c:v>5.8984688161053258</c:v>
                </c:pt>
                <c:pt idx="297">
                  <c:v>5.9182955834729691</c:v>
                </c:pt>
                <c:pt idx="298">
                  <c:v>5.938122350796827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23-44A6-B369-9647BC3E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36976"/>
        <c:axId val="1604140336"/>
      </c:scatterChart>
      <c:valAx>
        <c:axId val="1604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40336"/>
        <c:crosses val="autoZero"/>
        <c:crossBetween val="midCat"/>
      </c:valAx>
      <c:valAx>
        <c:axId val="1604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alpha vs theta(rad)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 vs theta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Sheet1!$C$2:$C$300</c:f>
              <c:numCache>
                <c:formatCode>General</c:formatCode>
                <c:ptCount val="299"/>
                <c:pt idx="0">
                  <c:v>21.786789298261809</c:v>
                </c:pt>
                <c:pt idx="1">
                  <c:v>13.17355110725892</c:v>
                </c:pt>
                <c:pt idx="2">
                  <c:v>9.430007907896421</c:v>
                </c:pt>
                <c:pt idx="3">
                  <c:v>7.3409930166302173</c:v>
                </c:pt>
                <c:pt idx="4">
                  <c:v>6.0089831977661481</c:v>
                </c:pt>
                <c:pt idx="5">
                  <c:v>5.0858478081234733</c:v>
                </c:pt>
                <c:pt idx="6">
                  <c:v>4.4084550079440721</c:v>
                </c:pt>
                <c:pt idx="7">
                  <c:v>3.890238169007683</c:v>
                </c:pt>
                <c:pt idx="8">
                  <c:v>3.481006089466939</c:v>
                </c:pt>
                <c:pt idx="9">
                  <c:v>3.149657426389616</c:v>
                </c:pt>
                <c:pt idx="10">
                  <c:v>2.8758946336329712</c:v>
                </c:pt>
                <c:pt idx="11">
                  <c:v>2.645908381192688</c:v>
                </c:pt>
                <c:pt idx="12">
                  <c:v>2.449977276616869</c:v>
                </c:pt>
                <c:pt idx="13">
                  <c:v>2.2810596097298799</c:v>
                </c:pt>
                <c:pt idx="14">
                  <c:v>2.13392966659725</c:v>
                </c:pt>
                <c:pt idx="15">
                  <c:v>2.0046278306910139</c:v>
                </c:pt>
                <c:pt idx="16">
                  <c:v>1.8900990734694361</c:v>
                </c:pt>
                <c:pt idx="17">
                  <c:v>1.787948610382325</c:v>
                </c:pt>
                <c:pt idx="18">
                  <c:v>1.6962726935197669</c:v>
                </c:pt>
                <c:pt idx="19">
                  <c:v>1.61353890116257</c:v>
                </c:pt>
                <c:pt idx="20">
                  <c:v>1.5384998183717069</c:v>
                </c:pt>
                <c:pt idx="21">
                  <c:v>1.4701297257779089</c:v>
                </c:pt>
                <c:pt idx="22">
                  <c:v>1.40757744634574</c:v>
                </c:pt>
                <c:pt idx="23">
                  <c:v>1.350130735571569</c:v>
                </c:pt>
                <c:pt idx="24">
                  <c:v>1.297189047593502</c:v>
                </c:pt>
                <c:pt idx="25">
                  <c:v>1.2482424655263471</c:v>
                </c:pt>
                <c:pt idx="26">
                  <c:v>1.2028552274810029</c:v>
                </c:pt>
                <c:pt idx="27">
                  <c:v>1.1606527198522041</c:v>
                </c:pt>
                <c:pt idx="28">
                  <c:v>1.121311115381737</c:v>
                </c:pt>
                <c:pt idx="29">
                  <c:v>1.0845490491576431</c:v>
                </c:pt>
                <c:pt idx="30">
                  <c:v>1.050120879794346</c:v>
                </c:pt>
                <c:pt idx="31">
                  <c:v>1.0178111944464101</c:v>
                </c:pt>
                <c:pt idx="32">
                  <c:v>0.9874302978136178</c:v>
                </c:pt>
                <c:pt idx="33">
                  <c:v>0.95881048552471249</c:v>
                </c:pt>
                <c:pt idx="34">
                  <c:v>0.93180294726415236</c:v>
                </c:pt>
                <c:pt idx="35">
                  <c:v>0.90627517889525744</c:v>
                </c:pt>
                <c:pt idx="36">
                  <c:v>0.88210880857853857</c:v>
                </c:pt>
                <c:pt idx="37">
                  <c:v>0.85919776163122541</c:v>
                </c:pt>
                <c:pt idx="38">
                  <c:v>0.83744670410029953</c:v>
                </c:pt>
                <c:pt idx="39">
                  <c:v>0.8167697168934015</c:v>
                </c:pt>
                <c:pt idx="40">
                  <c:v>0.79708916157355392</c:v>
                </c:pt>
                <c:pt idx="41">
                  <c:v>0.77833470626042423</c:v>
                </c:pt>
                <c:pt idx="42">
                  <c:v>0.76044248587473529</c:v>
                </c:pt>
                <c:pt idx="43">
                  <c:v>0.74335437559663253</c:v>
                </c:pt>
                <c:pt idx="44">
                  <c:v>0.72701736012146723</c:v>
                </c:pt>
                <c:pt idx="45">
                  <c:v>0.71138298429474078</c:v>
                </c:pt>
                <c:pt idx="46">
                  <c:v>0.69640687313334082</c:v>
                </c:pt>
                <c:pt idx="47">
                  <c:v>0.68204831122089926</c:v>
                </c:pt>
                <c:pt idx="48">
                  <c:v>0.66826987308208341</c:v>
                </c:pt>
                <c:pt idx="49">
                  <c:v>0.65503709746536032</c:v>
                </c:pt>
                <c:pt idx="50">
                  <c:v>0.64231819957781577</c:v>
                </c:pt>
                <c:pt idx="51">
                  <c:v>0.630083816196366</c:v>
                </c:pt>
                <c:pt idx="52">
                  <c:v>0.61830677936908274</c:v>
                </c:pt>
                <c:pt idx="53">
                  <c:v>0.60696191502491104</c:v>
                </c:pt>
                <c:pt idx="54">
                  <c:v>0.59602586335500551</c:v>
                </c:pt>
                <c:pt idx="55">
                  <c:v>0.58547691826916382</c:v>
                </c:pt>
                <c:pt idx="56">
                  <c:v>0.57529488359923775</c:v>
                </c:pt>
                <c:pt idx="57">
                  <c:v>0.56546094405251701</c:v>
                </c:pt>
                <c:pt idx="58">
                  <c:v>0.55595754918065499</c:v>
                </c:pt>
                <c:pt idx="59">
                  <c:v>0.5467683088487445</c:v>
                </c:pt>
                <c:pt idx="60">
                  <c:v>0.5378778989069023</c:v>
                </c:pt>
                <c:pt idx="61">
                  <c:v>0.52927197591432418</c:v>
                </c:pt>
                <c:pt idx="62">
                  <c:v>0.52093709992227977</c:v>
                </c:pt>
                <c:pt idx="63">
                  <c:v>0.51286066443827394</c:v>
                </c:pt>
                <c:pt idx="64">
                  <c:v>0.50503083280615479</c:v>
                </c:pt>
                <c:pt idx="65">
                  <c:v>0.49743648032638038</c:v>
                </c:pt>
                <c:pt idx="66">
                  <c:v>0.49006714151946201</c:v>
                </c:pt>
                <c:pt idx="67">
                  <c:v>0.48291296201106532</c:v>
                </c:pt>
                <c:pt idx="68">
                  <c:v>0.47596465456840381</c:v>
                </c:pt>
                <c:pt idx="69">
                  <c:v>0.46921345887774257</c:v>
                </c:pt>
                <c:pt idx="70">
                  <c:v>0.46265110469879372</c:v>
                </c:pt>
                <c:pt idx="71">
                  <c:v>0.45626977806979307</c:v>
                </c:pt>
                <c:pt idx="72">
                  <c:v>0.45006209026541738</c:v>
                </c:pt>
                <c:pt idx="73">
                  <c:v>0.44402104926230829</c:v>
                </c:pt>
                <c:pt idx="74">
                  <c:v>0.43814003346350111</c:v>
                </c:pt>
                <c:pt idx="75">
                  <c:v>0.43241276749359098</c:v>
                </c:pt>
                <c:pt idx="76">
                  <c:v>0.42683329985802732</c:v>
                </c:pt>
                <c:pt idx="77">
                  <c:v>0.42139598231723963</c:v>
                </c:pt>
                <c:pt idx="78">
                  <c:v>0.4160954508125641</c:v>
                </c:pt>
                <c:pt idx="79">
                  <c:v>0.4109266078159437</c:v>
                </c:pt>
                <c:pt idx="80">
                  <c:v>0.40588460598127829</c:v>
                </c:pt>
                <c:pt idx="81">
                  <c:v>0.40096483297923619</c:v>
                </c:pt>
                <c:pt idx="82">
                  <c:v>0.39616289742522431</c:v>
                </c:pt>
                <c:pt idx="83">
                  <c:v>0.39147461580855841</c:v>
                </c:pt>
                <c:pt idx="84">
                  <c:v>0.38689600033314009</c:v>
                </c:pt>
                <c:pt idx="85">
                  <c:v>0.38242324760630098</c:v>
                </c:pt>
                <c:pt idx="86">
                  <c:v>0.37805272810178497</c:v>
                </c:pt>
                <c:pt idx="87">
                  <c:v>0.37378097633658292</c:v>
                </c:pt>
                <c:pt idx="88">
                  <c:v>0.36960468170769439</c:v>
                </c:pt>
                <c:pt idx="89">
                  <c:v>0.36552067993269832</c:v>
                </c:pt>
                <c:pt idx="90">
                  <c:v>0.36152594505730601</c:v>
                </c:pt>
                <c:pt idx="91">
                  <c:v>0.35761758197701488</c:v>
                </c:pt>
                <c:pt idx="92">
                  <c:v>0.35379281944162289</c:v>
                </c:pt>
                <c:pt idx="93">
                  <c:v>0.35004900349780071</c:v>
                </c:pt>
                <c:pt idx="94">
                  <c:v>0.34638359135202451</c:v>
                </c:pt>
                <c:pt idx="95">
                  <c:v>0.34279414560940319</c:v>
                </c:pt>
                <c:pt idx="96">
                  <c:v>0.33927832887228099</c:v>
                </c:pt>
                <c:pt idx="97">
                  <c:v>0.33583389865679092</c:v>
                </c:pt>
                <c:pt idx="98">
                  <c:v>0.33245870263148652</c:v>
                </c:pt>
                <c:pt idx="99">
                  <c:v>0.32915067412559479</c:v>
                </c:pt>
                <c:pt idx="100">
                  <c:v>0.32590782791500128</c:v>
                </c:pt>
                <c:pt idx="101">
                  <c:v>0.32272825624665802</c:v>
                </c:pt>
                <c:pt idx="102">
                  <c:v>0.31961012509285508</c:v>
                </c:pt>
                <c:pt idx="103">
                  <c:v>0.31655167063082718</c:v>
                </c:pt>
                <c:pt idx="104">
                  <c:v>0.31355119591063391</c:v>
                </c:pt>
                <c:pt idx="105">
                  <c:v>0.31060706771429342</c:v>
                </c:pt>
                <c:pt idx="106">
                  <c:v>0.30771771359853167</c:v>
                </c:pt>
                <c:pt idx="107">
                  <c:v>0.30488161908541239</c:v>
                </c:pt>
                <c:pt idx="108">
                  <c:v>0.30209732502177</c:v>
                </c:pt>
                <c:pt idx="109">
                  <c:v>0.29936342507438568</c:v>
                </c:pt>
                <c:pt idx="110">
                  <c:v>0.296678563359147</c:v>
                </c:pt>
                <c:pt idx="111">
                  <c:v>0.29404143220063989</c:v>
                </c:pt>
                <c:pt idx="112">
                  <c:v>0.29145077001179848</c:v>
                </c:pt>
                <c:pt idx="113">
                  <c:v>0.28890535927347227</c:v>
                </c:pt>
                <c:pt idx="114">
                  <c:v>0.28640402463302223</c:v>
                </c:pt>
                <c:pt idx="115">
                  <c:v>0.28394563109498649</c:v>
                </c:pt>
                <c:pt idx="116">
                  <c:v>0.28152908229841289</c:v>
                </c:pt>
                <c:pt idx="117">
                  <c:v>0.27915331889103262</c:v>
                </c:pt>
                <c:pt idx="118">
                  <c:v>0.27681731698123158</c:v>
                </c:pt>
                <c:pt idx="119">
                  <c:v>0.27452008666249361</c:v>
                </c:pt>
                <c:pt idx="120">
                  <c:v>0.27226067061854953</c:v>
                </c:pt>
                <c:pt idx="121">
                  <c:v>0.27003814279431537</c:v>
                </c:pt>
                <c:pt idx="122">
                  <c:v>0.2678516071241504</c:v>
                </c:pt>
                <c:pt idx="123">
                  <c:v>0.26570019633520059</c:v>
                </c:pt>
                <c:pt idx="124">
                  <c:v>0.26358307079437521</c:v>
                </c:pt>
                <c:pt idx="125">
                  <c:v>0.26149941741923111</c:v>
                </c:pt>
                <c:pt idx="126">
                  <c:v>0.25944844863311001</c:v>
                </c:pt>
                <c:pt idx="127">
                  <c:v>0.2574294013770923</c:v>
                </c:pt>
                <c:pt idx="128">
                  <c:v>0.2554415361631473</c:v>
                </c:pt>
                <c:pt idx="129">
                  <c:v>0.25348413616581927</c:v>
                </c:pt>
                <c:pt idx="130">
                  <c:v>0.25155650636663363</c:v>
                </c:pt>
                <c:pt idx="131">
                  <c:v>0.24965797272650109</c:v>
                </c:pt>
                <c:pt idx="132">
                  <c:v>0.24778788140365099</c:v>
                </c:pt>
                <c:pt idx="133">
                  <c:v>0.24594559800130619</c:v>
                </c:pt>
                <c:pt idx="134">
                  <c:v>0.24413050684894971</c:v>
                </c:pt>
                <c:pt idx="135">
                  <c:v>0.24234201032099459</c:v>
                </c:pt>
                <c:pt idx="136">
                  <c:v>0.2405795281708793</c:v>
                </c:pt>
                <c:pt idx="137">
                  <c:v>0.2388424969150561</c:v>
                </c:pt>
                <c:pt idx="138">
                  <c:v>0.23713036922629599</c:v>
                </c:pt>
                <c:pt idx="139">
                  <c:v>0.23544261335814751</c:v>
                </c:pt>
                <c:pt idx="140">
                  <c:v>0.2337787125969791</c:v>
                </c:pt>
                <c:pt idx="141">
                  <c:v>0.23213816473134841</c:v>
                </c:pt>
                <c:pt idx="142">
                  <c:v>0.2305204815513984</c:v>
                </c:pt>
                <c:pt idx="143">
                  <c:v>0.228925188361292</c:v>
                </c:pt>
                <c:pt idx="144">
                  <c:v>0.22735182351222749</c:v>
                </c:pt>
                <c:pt idx="145">
                  <c:v>0.22579993796225789</c:v>
                </c:pt>
                <c:pt idx="146">
                  <c:v>0.22426909484820939</c:v>
                </c:pt>
                <c:pt idx="147">
                  <c:v>0.22275886907041481</c:v>
                </c:pt>
                <c:pt idx="148">
                  <c:v>0.2212688469073788</c:v>
                </c:pt>
                <c:pt idx="149">
                  <c:v>0.21979862562856631</c:v>
                </c:pt>
                <c:pt idx="150">
                  <c:v>0.21834781314177659</c:v>
                </c:pt>
                <c:pt idx="151">
                  <c:v>0.2169160276344699</c:v>
                </c:pt>
                <c:pt idx="152">
                  <c:v>0.21550289724731331</c:v>
                </c:pt>
                <c:pt idx="153">
                  <c:v>0.21410805974527519</c:v>
                </c:pt>
                <c:pt idx="154">
                  <c:v>0.21273116221306179</c:v>
                </c:pt>
                <c:pt idx="155">
                  <c:v>0.2113718607547472</c:v>
                </c:pt>
                <c:pt idx="156">
                  <c:v>0.21002982020928671</c:v>
                </c:pt>
                <c:pt idx="157">
                  <c:v>0.20870471387319259</c:v>
                </c:pt>
                <c:pt idx="158">
                  <c:v>0.2073962232369467</c:v>
                </c:pt>
                <c:pt idx="159">
                  <c:v>0.20610403772432009</c:v>
                </c:pt>
                <c:pt idx="160">
                  <c:v>0.20482785445875071</c:v>
                </c:pt>
                <c:pt idx="161">
                  <c:v>0.20356737801584199</c:v>
                </c:pt>
                <c:pt idx="162">
                  <c:v>0.20232232019460011</c:v>
                </c:pt>
                <c:pt idx="163">
                  <c:v>0.2010923998089961</c:v>
                </c:pt>
                <c:pt idx="164">
                  <c:v>0.19987734246316219</c:v>
                </c:pt>
                <c:pt idx="165">
                  <c:v>0.19867688035606831</c:v>
                </c:pt>
                <c:pt idx="166">
                  <c:v>0.1974907520825378</c:v>
                </c:pt>
                <c:pt idx="167">
                  <c:v>0.19631870244220759</c:v>
                </c:pt>
                <c:pt idx="168">
                  <c:v>0.19516048225549909</c:v>
                </c:pt>
                <c:pt idx="169">
                  <c:v>0.1940158481893442</c:v>
                </c:pt>
                <c:pt idx="170">
                  <c:v>0.19288456258794481</c:v>
                </c:pt>
                <c:pt idx="171">
                  <c:v>0.1917663933054885</c:v>
                </c:pt>
                <c:pt idx="172">
                  <c:v>0.19066111354521861</c:v>
                </c:pt>
                <c:pt idx="173">
                  <c:v>0.18956850171328191</c:v>
                </c:pt>
                <c:pt idx="174">
                  <c:v>0.18848834126326541</c:v>
                </c:pt>
                <c:pt idx="175">
                  <c:v>0.18742042056064359</c:v>
                </c:pt>
                <c:pt idx="176">
                  <c:v>0.18636453273314321</c:v>
                </c:pt>
                <c:pt idx="177">
                  <c:v>0.1853204755520895</c:v>
                </c:pt>
                <c:pt idx="178">
                  <c:v>0.18428805129096429</c:v>
                </c:pt>
                <c:pt idx="179">
                  <c:v>0.1832670666023884</c:v>
                </c:pt>
                <c:pt idx="180">
                  <c:v>0.18225733240660419</c:v>
                </c:pt>
                <c:pt idx="181">
                  <c:v>0.18125866376206751</c:v>
                </c:pt>
                <c:pt idx="182">
                  <c:v>0.18027087976224071</c:v>
                </c:pt>
                <c:pt idx="183">
                  <c:v>0.17929380342128279</c:v>
                </c:pt>
                <c:pt idx="184">
                  <c:v>0.17832726157301459</c:v>
                </c:pt>
                <c:pt idx="185">
                  <c:v>0.17737108475722729</c:v>
                </c:pt>
                <c:pt idx="186">
                  <c:v>0.17642510713650111</c:v>
                </c:pt>
                <c:pt idx="187">
                  <c:v>0.1754891663909392</c:v>
                </c:pt>
                <c:pt idx="188">
                  <c:v>0.1745631036257134</c:v>
                </c:pt>
                <c:pt idx="189">
                  <c:v>0.17364676328164139</c:v>
                </c:pt>
                <c:pt idx="190">
                  <c:v>0.17273999304912899</c:v>
                </c:pt>
                <c:pt idx="191">
                  <c:v>0.17184264378369071</c:v>
                </c:pt>
                <c:pt idx="192">
                  <c:v>0.17095456942757059</c:v>
                </c:pt>
                <c:pt idx="193">
                  <c:v>0.17007562691859421</c:v>
                </c:pt>
                <c:pt idx="194">
                  <c:v>0.16920567613120729</c:v>
                </c:pt>
                <c:pt idx="195">
                  <c:v>0.16834457978393261</c:v>
                </c:pt>
                <c:pt idx="196">
                  <c:v>0.1674922033818306</c:v>
                </c:pt>
                <c:pt idx="197">
                  <c:v>0.1666484151385306</c:v>
                </c:pt>
                <c:pt idx="198">
                  <c:v>0.1658130859058245</c:v>
                </c:pt>
                <c:pt idx="199">
                  <c:v>0.16498608911567031</c:v>
                </c:pt>
                <c:pt idx="200">
                  <c:v>0.16416730071520591</c:v>
                </c:pt>
                <c:pt idx="201">
                  <c:v>0.1633565990968909</c:v>
                </c:pt>
                <c:pt idx="202">
                  <c:v>0.16255386504616889</c:v>
                </c:pt>
                <c:pt idx="203">
                  <c:v>0.16175898167809549</c:v>
                </c:pt>
                <c:pt idx="204">
                  <c:v>0.16097183438757939</c:v>
                </c:pt>
                <c:pt idx="205">
                  <c:v>0.1601923107842454</c:v>
                </c:pt>
                <c:pt idx="206">
                  <c:v>0.15942030064579951</c:v>
                </c:pt>
                <c:pt idx="207">
                  <c:v>0.1586556958653717</c:v>
                </c:pt>
                <c:pt idx="208">
                  <c:v>0.15789839040196571</c:v>
                </c:pt>
                <c:pt idx="209">
                  <c:v>0.15714828022726479</c:v>
                </c:pt>
                <c:pt idx="210">
                  <c:v>0.15640526327809159</c:v>
                </c:pt>
                <c:pt idx="211">
                  <c:v>0.15566923941948879</c:v>
                </c:pt>
                <c:pt idx="212">
                  <c:v>0.1549401103812261</c:v>
                </c:pt>
                <c:pt idx="213">
                  <c:v>0.15421777974020279</c:v>
                </c:pt>
                <c:pt idx="214">
                  <c:v>0.1535021528482485</c:v>
                </c:pt>
                <c:pt idx="215">
                  <c:v>0.1527931368181038</c:v>
                </c:pt>
                <c:pt idx="216">
                  <c:v>0.1520906404665221</c:v>
                </c:pt>
                <c:pt idx="217">
                  <c:v>0.1513945742733479</c:v>
                </c:pt>
                <c:pt idx="218">
                  <c:v>0.15070485035717221</c:v>
                </c:pt>
                <c:pt idx="219">
                  <c:v>0.15002138243172181</c:v>
                </c:pt>
                <c:pt idx="220">
                  <c:v>0.14934408576195149</c:v>
                </c:pt>
                <c:pt idx="221">
                  <c:v>0.1486728771444141</c:v>
                </c:pt>
                <c:pt idx="222">
                  <c:v>0.14800767485610511</c:v>
                </c:pt>
                <c:pt idx="223">
                  <c:v>0.1473483986351522</c:v>
                </c:pt>
                <c:pt idx="224">
                  <c:v>0.1466949696447252</c:v>
                </c:pt>
                <c:pt idx="225">
                  <c:v>0.14604731043715891</c:v>
                </c:pt>
                <c:pt idx="226">
                  <c:v>0.14540534492837889</c:v>
                </c:pt>
                <c:pt idx="227">
                  <c:v>0.14476899836537979</c:v>
                </c:pt>
                <c:pt idx="228">
                  <c:v>0.14413819729670521</c:v>
                </c:pt>
                <c:pt idx="229">
                  <c:v>0.14351286954606951</c:v>
                </c:pt>
                <c:pt idx="230">
                  <c:v>0.14289294418926671</c:v>
                </c:pt>
                <c:pt idx="231">
                  <c:v>0.14227835151145299</c:v>
                </c:pt>
                <c:pt idx="232">
                  <c:v>0.14166902300599779</c:v>
                </c:pt>
                <c:pt idx="233">
                  <c:v>0.14106489132319</c:v>
                </c:pt>
                <c:pt idx="234">
                  <c:v>0.1404658902633297</c:v>
                </c:pt>
                <c:pt idx="235">
                  <c:v>0.1398719547426226</c:v>
                </c:pt>
                <c:pt idx="236">
                  <c:v>0.13928302077819871</c:v>
                </c:pt>
                <c:pt idx="237">
                  <c:v>0.13869902545607399</c:v>
                </c:pt>
                <c:pt idx="238">
                  <c:v>0.13811990691325041</c:v>
                </c:pt>
                <c:pt idx="239">
                  <c:v>0.13754560431850679</c:v>
                </c:pt>
                <c:pt idx="240">
                  <c:v>0.13697605784655539</c:v>
                </c:pt>
                <c:pt idx="241">
                  <c:v>0.13641120865875661</c:v>
                </c:pt>
                <c:pt idx="242">
                  <c:v>0.13585099888257041</c:v>
                </c:pt>
                <c:pt idx="243">
                  <c:v>0.13529537159242941</c:v>
                </c:pt>
                <c:pt idx="244">
                  <c:v>0.13474427079210349</c:v>
                </c:pt>
                <c:pt idx="245">
                  <c:v>0.1341976413904804</c:v>
                </c:pt>
                <c:pt idx="246">
                  <c:v>0.13365542918968701</c:v>
                </c:pt>
                <c:pt idx="247">
                  <c:v>0.13311758086676739</c:v>
                </c:pt>
                <c:pt idx="248">
                  <c:v>0.13258404394600681</c:v>
                </c:pt>
                <c:pt idx="249">
                  <c:v>0.13205476679478459</c:v>
                </c:pt>
                <c:pt idx="250">
                  <c:v>0.13152969859930819</c:v>
                </c:pt>
                <c:pt idx="251">
                  <c:v>0.13100878935863061</c:v>
                </c:pt>
                <c:pt idx="252">
                  <c:v>0.130491989847212</c:v>
                </c:pt>
                <c:pt idx="253">
                  <c:v>0.1299792516236839</c:v>
                </c:pt>
                <c:pt idx="254">
                  <c:v>0.1294705270026712</c:v>
                </c:pt>
                <c:pt idx="255">
                  <c:v>0.12896576903953361</c:v>
                </c:pt>
                <c:pt idx="256">
                  <c:v>0.128464931522732</c:v>
                </c:pt>
                <c:pt idx="257">
                  <c:v>0.12796796895126369</c:v>
                </c:pt>
                <c:pt idx="258">
                  <c:v>0.1274748365310831</c:v>
                </c:pt>
                <c:pt idx="259">
                  <c:v>0.1269854901508648</c:v>
                </c:pt>
                <c:pt idx="260">
                  <c:v>0.12649988637689749</c:v>
                </c:pt>
                <c:pt idx="261">
                  <c:v>0.12601798243872581</c:v>
                </c:pt>
                <c:pt idx="262">
                  <c:v>0.12553973620820549</c:v>
                </c:pt>
                <c:pt idx="263">
                  <c:v>0.12506510620387271</c:v>
                </c:pt>
                <c:pt idx="264">
                  <c:v>0.1245940515628098</c:v>
                </c:pt>
                <c:pt idx="265">
                  <c:v>0.124126532034948</c:v>
                </c:pt>
                <c:pt idx="266">
                  <c:v>0.12366250797683941</c:v>
                </c:pt>
                <c:pt idx="267">
                  <c:v>0.1232019403330632</c:v>
                </c:pt>
                <c:pt idx="268">
                  <c:v>0.12274479062573949</c:v>
                </c:pt>
                <c:pt idx="269">
                  <c:v>0.12229102094939701</c:v>
                </c:pt>
                <c:pt idx="270">
                  <c:v>0.1218405939563918</c:v>
                </c:pt>
                <c:pt idx="271">
                  <c:v>0.1213934728476509</c:v>
                </c:pt>
                <c:pt idx="272">
                  <c:v>0.1209496213568423</c:v>
                </c:pt>
                <c:pt idx="273">
                  <c:v>0.1205090037550309</c:v>
                </c:pt>
                <c:pt idx="274">
                  <c:v>0.12007158482475649</c:v>
                </c:pt>
                <c:pt idx="275">
                  <c:v>0.1196373298606429</c:v>
                </c:pt>
                <c:pt idx="276">
                  <c:v>0.1192062046574814</c:v>
                </c:pt>
                <c:pt idx="277">
                  <c:v>0.1187781755069572</c:v>
                </c:pt>
                <c:pt idx="278">
                  <c:v>0.1183532091693745</c:v>
                </c:pt>
                <c:pt idx="279">
                  <c:v>0.1179312728939315</c:v>
                </c:pt>
                <c:pt idx="280">
                  <c:v>0.117512334386427</c:v>
                </c:pt>
                <c:pt idx="281">
                  <c:v>0.1170963618102371</c:v>
                </c:pt>
                <c:pt idx="282">
                  <c:v>0.116683323783925</c:v>
                </c:pt>
                <c:pt idx="283">
                  <c:v>0.1162731893597313</c:v>
                </c:pt>
                <c:pt idx="284">
                  <c:v>0.11586592802966469</c:v>
                </c:pt>
                <c:pt idx="285">
                  <c:v>0.1154615097062225</c:v>
                </c:pt>
                <c:pt idx="286">
                  <c:v>0.1150599047246355</c:v>
                </c:pt>
                <c:pt idx="287">
                  <c:v>0.1146610838322121</c:v>
                </c:pt>
                <c:pt idx="288">
                  <c:v>0.11426501817403791</c:v>
                </c:pt>
                <c:pt idx="289">
                  <c:v>0.11387167930055959</c:v>
                </c:pt>
                <c:pt idx="290">
                  <c:v>0.1134810391462019</c:v>
                </c:pt>
                <c:pt idx="291">
                  <c:v>0.11309307003633221</c:v>
                </c:pt>
                <c:pt idx="292">
                  <c:v>0.1127077446618239</c:v>
                </c:pt>
                <c:pt idx="293">
                  <c:v>0.11232503609831949</c:v>
                </c:pt>
                <c:pt idx="294">
                  <c:v>0.1119449177735985</c:v>
                </c:pt>
                <c:pt idx="295">
                  <c:v>0.1115673634830852</c:v>
                </c:pt>
                <c:pt idx="296">
                  <c:v>0.1111923473727065</c:v>
                </c:pt>
                <c:pt idx="297">
                  <c:v>0.1108198439277932</c:v>
                </c:pt>
                <c:pt idx="298">
                  <c:v>0.1104498279846759</c:v>
                </c:pt>
              </c:numCache>
            </c:numRef>
          </c:xVal>
          <c:yVal>
            <c:numRef>
              <c:f>Sheet1!$D$2:$D$300</c:f>
              <c:numCache>
                <c:formatCode>General</c:formatCode>
                <c:ptCount val="299"/>
                <c:pt idx="0">
                  <c:v>3.0285901522819909E-2</c:v>
                </c:pt>
                <c:pt idx="1">
                  <c:v>4.9896293578279467E-2</c:v>
                </c:pt>
                <c:pt idx="2">
                  <c:v>6.9629351106769044E-2</c:v>
                </c:pt>
                <c:pt idx="3">
                  <c:v>8.9403887494613504E-2</c:v>
                </c:pt>
                <c:pt idx="4">
                  <c:v>0.1091973708641803</c:v>
                </c:pt>
                <c:pt idx="5">
                  <c:v>0.12900108003055261</c:v>
                </c:pt>
                <c:pt idx="6">
                  <c:v>0.14881093251286531</c:v>
                </c:pt>
                <c:pt idx="7">
                  <c:v>0.1686247631949345</c:v>
                </c:pt>
                <c:pt idx="8">
                  <c:v>0.18844131720683849</c:v>
                </c:pt>
                <c:pt idx="9">
                  <c:v>0.2082598171507076</c:v>
                </c:pt>
                <c:pt idx="10">
                  <c:v>0.22807975576439321</c:v>
                </c:pt>
                <c:pt idx="11">
                  <c:v>0.24790078797847331</c:v>
                </c:pt>
                <c:pt idx="12">
                  <c:v>0.26772267089667168</c:v>
                </c:pt>
                <c:pt idx="13">
                  <c:v>0.28754522858960357</c:v>
                </c:pt>
                <c:pt idx="14">
                  <c:v>0.30736833050616058</c:v>
                </c:pt>
                <c:pt idx="15">
                  <c:v>0.32719187773008412</c:v>
                </c:pt>
                <c:pt idx="16">
                  <c:v>0.34701579394581678</c:v>
                </c:pt>
                <c:pt idx="17">
                  <c:v>0.36684001933273802</c:v>
                </c:pt>
                <c:pt idx="18">
                  <c:v>0.38666450633740962</c:v>
                </c:pt>
                <c:pt idx="19">
                  <c:v>0.40648921668248561</c:v>
                </c:pt>
                <c:pt idx="20">
                  <c:v>0.42631411921029921</c:v>
                </c:pt>
                <c:pt idx="21">
                  <c:v>0.44613918830092181</c:v>
                </c:pt>
                <c:pt idx="22">
                  <c:v>0.46596440269459849</c:v>
                </c:pt>
                <c:pt idx="23">
                  <c:v>0.4857897446016497</c:v>
                </c:pt>
                <c:pt idx="24">
                  <c:v>0.5056151990225175</c:v>
                </c:pt>
                <c:pt idx="25">
                  <c:v>0.52544075322161321</c:v>
                </c:pt>
                <c:pt idx="26">
                  <c:v>0.54526639631499063</c:v>
                </c:pt>
                <c:pt idx="27">
                  <c:v>0.56509211894657219</c:v>
                </c:pt>
                <c:pt idx="28">
                  <c:v>0.58491791302848717</c:v>
                </c:pt>
                <c:pt idx="29">
                  <c:v>0.60474377153364056</c:v>
                </c:pt>
                <c:pt idx="30">
                  <c:v>0.62456968832675142</c:v>
                </c:pt>
                <c:pt idx="31">
                  <c:v>0.64439565802804322</c:v>
                </c:pt>
                <c:pt idx="32">
                  <c:v>0.66422167589982828</c:v>
                </c:pt>
                <c:pt idx="33">
                  <c:v>0.68404773775343264</c:v>
                </c:pt>
                <c:pt idx="34">
                  <c:v>0.70387383987266172</c:v>
                </c:pt>
                <c:pt idx="35">
                  <c:v>0.72369997894806182</c:v>
                </c:pt>
                <c:pt idx="36">
                  <c:v>0.74352615202358097</c:v>
                </c:pt>
                <c:pt idx="37">
                  <c:v>0.76335235644936839</c:v>
                </c:pt>
                <c:pt idx="38">
                  <c:v>0.78317858984533706</c:v>
                </c:pt>
                <c:pt idx="39">
                  <c:v>0.80300485006526268</c:v>
                </c:pt>
                <c:pt idx="40">
                  <c:v>0.82283113517008977</c:v>
                </c:pt>
                <c:pt idx="41">
                  <c:v>0.84265744340328996</c:v>
                </c:pt>
                <c:pt idx="42">
                  <c:v>0.86248377317002067</c:v>
                </c:pt>
                <c:pt idx="43">
                  <c:v>0.88231012301861034</c:v>
                </c:pt>
                <c:pt idx="44">
                  <c:v>0.90213649162515064</c:v>
                </c:pt>
                <c:pt idx="45">
                  <c:v>0.92196287777932762</c:v>
                </c:pt>
                <c:pt idx="46">
                  <c:v>0.94178928037299614</c:v>
                </c:pt>
                <c:pt idx="47">
                  <c:v>0.96161569838953942</c:v>
                </c:pt>
                <c:pt idx="48">
                  <c:v>0.98144213089320942</c:v>
                </c:pt>
                <c:pt idx="49">
                  <c:v>1.001268577025328</c:v>
                </c:pt>
                <c:pt idx="50">
                  <c:v>1.021095035990246</c:v>
                </c:pt>
                <c:pt idx="51">
                  <c:v>1.04092150705548</c:v>
                </c:pt>
                <c:pt idx="52">
                  <c:v>1.0607479895421721</c:v>
                </c:pt>
                <c:pt idx="53">
                  <c:v>1.0805744828219299</c:v>
                </c:pt>
                <c:pt idx="54">
                  <c:v>1.1004009863123061</c:v>
                </c:pt>
                <c:pt idx="55">
                  <c:v>1.1202274994693291</c:v>
                </c:pt>
                <c:pt idx="56">
                  <c:v>1.1400540217887249</c:v>
                </c:pt>
                <c:pt idx="57">
                  <c:v>1.159880552802917</c:v>
                </c:pt>
                <c:pt idx="58">
                  <c:v>1.17970709207159</c:v>
                </c:pt>
                <c:pt idx="59">
                  <c:v>1.199533639185943</c:v>
                </c:pt>
                <c:pt idx="60">
                  <c:v>1.2193601937627601</c:v>
                </c:pt>
                <c:pt idx="61">
                  <c:v>1.2391867554443901</c:v>
                </c:pt>
                <c:pt idx="62">
                  <c:v>1.2590133238948289</c:v>
                </c:pt>
                <c:pt idx="63">
                  <c:v>1.2788398987994309</c:v>
                </c:pt>
                <c:pt idx="64">
                  <c:v>1.298666479862979</c:v>
                </c:pt>
                <c:pt idx="65">
                  <c:v>1.318493066807114</c:v>
                </c:pt>
                <c:pt idx="66">
                  <c:v>1.3383196593717679</c:v>
                </c:pt>
                <c:pt idx="67">
                  <c:v>1.3581462573096661</c:v>
                </c:pt>
                <c:pt idx="68">
                  <c:v>1.377972860387304</c:v>
                </c:pt>
                <c:pt idx="69">
                  <c:v>1.39779946838717</c:v>
                </c:pt>
                <c:pt idx="70">
                  <c:v>1.4176260811050829</c:v>
                </c:pt>
                <c:pt idx="71">
                  <c:v>1.4374526983426921</c:v>
                </c:pt>
                <c:pt idx="72">
                  <c:v>1.457279319918356</c:v>
                </c:pt>
                <c:pt idx="73">
                  <c:v>1.4771059456535589</c:v>
                </c:pt>
                <c:pt idx="74">
                  <c:v>1.4969325753878999</c:v>
                </c:pt>
                <c:pt idx="75">
                  <c:v>1.516759208960389</c:v>
                </c:pt>
                <c:pt idx="76">
                  <c:v>1.5365858462243751</c:v>
                </c:pt>
                <c:pt idx="77">
                  <c:v>1.5564124870367171</c:v>
                </c:pt>
                <c:pt idx="78">
                  <c:v>1.576239131264447</c:v>
                </c:pt>
                <c:pt idx="79">
                  <c:v>1.5960657787836761</c:v>
                </c:pt>
                <c:pt idx="80">
                  <c:v>1.6158924294693839</c:v>
                </c:pt>
                <c:pt idx="81">
                  <c:v>1.6357190832069419</c:v>
                </c:pt>
                <c:pt idx="82">
                  <c:v>1.655545739890018</c:v>
                </c:pt>
                <c:pt idx="83">
                  <c:v>1.675372399409683</c:v>
                </c:pt>
                <c:pt idx="84">
                  <c:v>1.695199061667829</c:v>
                </c:pt>
                <c:pt idx="85">
                  <c:v>1.7150257265702249</c:v>
                </c:pt>
                <c:pt idx="86">
                  <c:v>1.734852394025814</c:v>
                </c:pt>
                <c:pt idx="87">
                  <c:v>1.7546790639483709</c:v>
                </c:pt>
                <c:pt idx="88">
                  <c:v>1.7745057362515451</c:v>
                </c:pt>
                <c:pt idx="89">
                  <c:v>1.794332410861694</c:v>
                </c:pt>
                <c:pt idx="90">
                  <c:v>1.814159087702885</c:v>
                </c:pt>
                <c:pt idx="91">
                  <c:v>1.833985766703047</c:v>
                </c:pt>
                <c:pt idx="92">
                  <c:v>1.853812447784966</c:v>
                </c:pt>
                <c:pt idx="93">
                  <c:v>1.8736391308893141</c:v>
                </c:pt>
                <c:pt idx="94">
                  <c:v>1.8934658159533571</c:v>
                </c:pt>
                <c:pt idx="95">
                  <c:v>1.9132925029199821</c:v>
                </c:pt>
                <c:pt idx="96">
                  <c:v>1.933119191717408</c:v>
                </c:pt>
                <c:pt idx="97">
                  <c:v>1.952945882301983</c:v>
                </c:pt>
                <c:pt idx="98">
                  <c:v>1.9727725746114231</c:v>
                </c:pt>
                <c:pt idx="99">
                  <c:v>1.992599268603743</c:v>
                </c:pt>
                <c:pt idx="100">
                  <c:v>2.0124259642231701</c:v>
                </c:pt>
                <c:pt idx="101">
                  <c:v>2.0322526614159262</c:v>
                </c:pt>
                <c:pt idx="102">
                  <c:v>2.0520793601508531</c:v>
                </c:pt>
                <c:pt idx="103">
                  <c:v>2.0719060603740012</c:v>
                </c:pt>
                <c:pt idx="104">
                  <c:v>2.091732762040186</c:v>
                </c:pt>
                <c:pt idx="105">
                  <c:v>2.1115594651223959</c:v>
                </c:pt>
                <c:pt idx="106">
                  <c:v>2.131386169564141</c:v>
                </c:pt>
                <c:pt idx="107">
                  <c:v>2.151212875339541</c:v>
                </c:pt>
                <c:pt idx="108">
                  <c:v>2.1710395824099571</c:v>
                </c:pt>
                <c:pt idx="109">
                  <c:v>2.190866290734081</c:v>
                </c:pt>
                <c:pt idx="110">
                  <c:v>2.2106930002845688</c:v>
                </c:pt>
                <c:pt idx="111">
                  <c:v>2.2305197110353361</c:v>
                </c:pt>
                <c:pt idx="112">
                  <c:v>2.2503464229356052</c:v>
                </c:pt>
                <c:pt idx="113">
                  <c:v>2.2701731359705319</c:v>
                </c:pt>
                <c:pt idx="114">
                  <c:v>2.2899998501125438</c:v>
                </c:pt>
                <c:pt idx="115">
                  <c:v>2.3098265653177061</c:v>
                </c:pt>
                <c:pt idx="116">
                  <c:v>2.3296532815693061</c:v>
                </c:pt>
                <c:pt idx="117">
                  <c:v>2.3494799988427451</c:v>
                </c:pt>
                <c:pt idx="118">
                  <c:v>2.3693067171013982</c:v>
                </c:pt>
                <c:pt idx="119">
                  <c:v>2.3891334363323962</c:v>
                </c:pt>
                <c:pt idx="120">
                  <c:v>2.40896015651485</c:v>
                </c:pt>
                <c:pt idx="121">
                  <c:v>2.4287868776092041</c:v>
                </c:pt>
                <c:pt idx="122">
                  <c:v>2.448613599612365</c:v>
                </c:pt>
                <c:pt idx="123">
                  <c:v>2.4684403224873699</c:v>
                </c:pt>
                <c:pt idx="124">
                  <c:v>2.4882670462177559</c:v>
                </c:pt>
                <c:pt idx="125">
                  <c:v>2.5080937707761839</c:v>
                </c:pt>
                <c:pt idx="126">
                  <c:v>2.5279204961597199</c:v>
                </c:pt>
                <c:pt idx="127">
                  <c:v>2.547747222347347</c:v>
                </c:pt>
                <c:pt idx="128">
                  <c:v>2.5675739493014751</c:v>
                </c:pt>
                <c:pt idx="129">
                  <c:v>2.5874006770205971</c:v>
                </c:pt>
                <c:pt idx="130">
                  <c:v>2.6072274054774951</c:v>
                </c:pt>
                <c:pt idx="131">
                  <c:v>2.6270541346676439</c:v>
                </c:pt>
                <c:pt idx="132">
                  <c:v>2.6468808645708379</c:v>
                </c:pt>
                <c:pt idx="133">
                  <c:v>2.6667075951668382</c:v>
                </c:pt>
                <c:pt idx="134">
                  <c:v>2.6865343264486832</c:v>
                </c:pt>
                <c:pt idx="135">
                  <c:v>2.7063610583717002</c:v>
                </c:pt>
                <c:pt idx="136">
                  <c:v>2.7261877909623511</c:v>
                </c:pt>
                <c:pt idx="137">
                  <c:v>2.7460145241899321</c:v>
                </c:pt>
                <c:pt idx="138">
                  <c:v>2.7658412580329679</c:v>
                </c:pt>
                <c:pt idx="139">
                  <c:v>2.785667992486486</c:v>
                </c:pt>
                <c:pt idx="140">
                  <c:v>2.805494727531443</c:v>
                </c:pt>
                <c:pt idx="141">
                  <c:v>2.825321463172747</c:v>
                </c:pt>
                <c:pt idx="142">
                  <c:v>2.8451481993821321</c:v>
                </c:pt>
                <c:pt idx="143">
                  <c:v>2.8649749361355799</c:v>
                </c:pt>
                <c:pt idx="144">
                  <c:v>2.884801673446304</c:v>
                </c:pt>
                <c:pt idx="145">
                  <c:v>2.90462841130033</c:v>
                </c:pt>
                <c:pt idx="146">
                  <c:v>2.924455149665079</c:v>
                </c:pt>
                <c:pt idx="147">
                  <c:v>2.944281888557593</c:v>
                </c:pt>
                <c:pt idx="148">
                  <c:v>2.964108627937823</c:v>
                </c:pt>
                <c:pt idx="149">
                  <c:v>2.983935367831597</c:v>
                </c:pt>
                <c:pt idx="150">
                  <c:v>3.0037621081937429</c:v>
                </c:pt>
                <c:pt idx="151">
                  <c:v>3.0235888490434002</c:v>
                </c:pt>
                <c:pt idx="152">
                  <c:v>3.0434155903476929</c:v>
                </c:pt>
                <c:pt idx="153">
                  <c:v>3.063242332117269</c:v>
                </c:pt>
                <c:pt idx="154">
                  <c:v>3.0830690743367151</c:v>
                </c:pt>
                <c:pt idx="155">
                  <c:v>3.1028958170021239</c:v>
                </c:pt>
                <c:pt idx="156">
                  <c:v>3.122722560094068</c:v>
                </c:pt>
                <c:pt idx="157">
                  <c:v>3.1425493036038681</c:v>
                </c:pt>
                <c:pt idx="158">
                  <c:v>3.1623760475104761</c:v>
                </c:pt>
                <c:pt idx="159">
                  <c:v>3.1822027918637321</c:v>
                </c:pt>
                <c:pt idx="160">
                  <c:v>3.2020295365991451</c:v>
                </c:pt>
                <c:pt idx="161">
                  <c:v>3.2218562817019119</c:v>
                </c:pt>
                <c:pt idx="162">
                  <c:v>3.241683027222412</c:v>
                </c:pt>
                <c:pt idx="163">
                  <c:v>3.2615097730978708</c:v>
                </c:pt>
                <c:pt idx="164">
                  <c:v>3.281336519360206</c:v>
                </c:pt>
                <c:pt idx="165">
                  <c:v>3.301163265996288</c:v>
                </c:pt>
                <c:pt idx="166">
                  <c:v>3.3209900129822669</c:v>
                </c:pt>
                <c:pt idx="167">
                  <c:v>3.3408167603045862</c:v>
                </c:pt>
                <c:pt idx="168">
                  <c:v>3.3606435079774459</c:v>
                </c:pt>
                <c:pt idx="169">
                  <c:v>3.3804702560037838</c:v>
                </c:pt>
                <c:pt idx="170">
                  <c:v>3.400297004353559</c:v>
                </c:pt>
                <c:pt idx="171">
                  <c:v>3.4201237530114081</c:v>
                </c:pt>
                <c:pt idx="172">
                  <c:v>3.439950502015733</c:v>
                </c:pt>
                <c:pt idx="173">
                  <c:v>3.4597772513303831</c:v>
                </c:pt>
                <c:pt idx="174">
                  <c:v>3.479604000976007</c:v>
                </c:pt>
                <c:pt idx="175">
                  <c:v>3.499430750892909</c:v>
                </c:pt>
                <c:pt idx="176">
                  <c:v>3.5192575011516061</c:v>
                </c:pt>
                <c:pt idx="177">
                  <c:v>3.5390842516749981</c:v>
                </c:pt>
                <c:pt idx="178">
                  <c:v>3.5589110024677511</c:v>
                </c:pt>
                <c:pt idx="179">
                  <c:v>3.5787377535855049</c:v>
                </c:pt>
                <c:pt idx="180">
                  <c:v>3.5985645049562112</c:v>
                </c:pt>
                <c:pt idx="181">
                  <c:v>3.6183912566258689</c:v>
                </c:pt>
                <c:pt idx="182">
                  <c:v>3.6382180085690359</c:v>
                </c:pt>
                <c:pt idx="183">
                  <c:v>3.6580447607880608</c:v>
                </c:pt>
                <c:pt idx="184">
                  <c:v>3.6778715132180761</c:v>
                </c:pt>
                <c:pt idx="185">
                  <c:v>3.697698265960494</c:v>
                </c:pt>
                <c:pt idx="186">
                  <c:v>3.717525018957851</c:v>
                </c:pt>
                <c:pt idx="187">
                  <c:v>3.7373517721848342</c:v>
                </c:pt>
                <c:pt idx="188">
                  <c:v>3.7571785256414949</c:v>
                </c:pt>
                <c:pt idx="189">
                  <c:v>3.777005279343626</c:v>
                </c:pt>
                <c:pt idx="190">
                  <c:v>3.7968320333004222</c:v>
                </c:pt>
                <c:pt idx="191">
                  <c:v>3.816658787515975</c:v>
                </c:pt>
                <c:pt idx="192">
                  <c:v>3.836485541912666</c:v>
                </c:pt>
                <c:pt idx="193">
                  <c:v>3.856312296596577</c:v>
                </c:pt>
                <c:pt idx="194">
                  <c:v>3.876139051457868</c:v>
                </c:pt>
                <c:pt idx="195">
                  <c:v>3.8959658065776281</c:v>
                </c:pt>
                <c:pt idx="196">
                  <c:v>3.915792561894639</c:v>
                </c:pt>
                <c:pt idx="197">
                  <c:v>3.935619317385481</c:v>
                </c:pt>
                <c:pt idx="198">
                  <c:v>3.9554460731256582</c:v>
                </c:pt>
                <c:pt idx="199">
                  <c:v>3.9752728291043322</c:v>
                </c:pt>
                <c:pt idx="200">
                  <c:v>3.995099585245554</c:v>
                </c:pt>
                <c:pt idx="201">
                  <c:v>4.0149263415972376</c:v>
                </c:pt>
                <c:pt idx="202">
                  <c:v>4.0347530981420689</c:v>
                </c:pt>
                <c:pt idx="203">
                  <c:v>4.0545798549177734</c:v>
                </c:pt>
                <c:pt idx="204">
                  <c:v>4.0744066118432647</c:v>
                </c:pt>
                <c:pt idx="205">
                  <c:v>4.0942333689696468</c:v>
                </c:pt>
                <c:pt idx="206">
                  <c:v>4.1140601263097327</c:v>
                </c:pt>
                <c:pt idx="207">
                  <c:v>4.1338868838544229</c:v>
                </c:pt>
                <c:pt idx="208">
                  <c:v>4.1537136415475224</c:v>
                </c:pt>
                <c:pt idx="209">
                  <c:v>4.1735403993941276</c:v>
                </c:pt>
                <c:pt idx="210">
                  <c:v>4.1933671574610356</c:v>
                </c:pt>
                <c:pt idx="211">
                  <c:v>4.2131939156259373</c:v>
                </c:pt>
                <c:pt idx="212">
                  <c:v>4.2330206740739094</c:v>
                </c:pt>
                <c:pt idx="213">
                  <c:v>4.2528474325912597</c:v>
                </c:pt>
                <c:pt idx="214">
                  <c:v>4.272674191372885</c:v>
                </c:pt>
                <c:pt idx="215">
                  <c:v>4.2925009502741016</c:v>
                </c:pt>
                <c:pt idx="216">
                  <c:v>4.31232770926822</c:v>
                </c:pt>
                <c:pt idx="217">
                  <c:v>4.332154468504493</c:v>
                </c:pt>
                <c:pt idx="218">
                  <c:v>4.3519812279211854</c:v>
                </c:pt>
                <c:pt idx="219">
                  <c:v>4.3718079874286921</c:v>
                </c:pt>
                <c:pt idx="220">
                  <c:v>4.3916347471412438</c:v>
                </c:pt>
                <c:pt idx="221">
                  <c:v>4.4114615069296699</c:v>
                </c:pt>
                <c:pt idx="222">
                  <c:v>4.431288266921606</c:v>
                </c:pt>
                <c:pt idx="223">
                  <c:v>4.4511150270945974</c:v>
                </c:pt>
                <c:pt idx="224">
                  <c:v>4.4709417873852493</c:v>
                </c:pt>
                <c:pt idx="225">
                  <c:v>4.4907685478242101</c:v>
                </c:pt>
                <c:pt idx="226">
                  <c:v>4.5105953083845156</c:v>
                </c:pt>
                <c:pt idx="227">
                  <c:v>4.5304220690642856</c:v>
                </c:pt>
                <c:pt idx="228">
                  <c:v>4.5502488299037447</c:v>
                </c:pt>
                <c:pt idx="229">
                  <c:v>4.5700755909270496</c:v>
                </c:pt>
                <c:pt idx="230">
                  <c:v>4.5899023519989823</c:v>
                </c:pt>
                <c:pt idx="231">
                  <c:v>4.6097291133331257</c:v>
                </c:pt>
                <c:pt idx="232">
                  <c:v>4.6295558746906966</c:v>
                </c:pt>
                <c:pt idx="233">
                  <c:v>4.6493826362122972</c:v>
                </c:pt>
                <c:pt idx="234">
                  <c:v>4.6692093978392437</c:v>
                </c:pt>
                <c:pt idx="235">
                  <c:v>4.6890361596375563</c:v>
                </c:pt>
                <c:pt idx="236">
                  <c:v>4.7088629215128721</c:v>
                </c:pt>
                <c:pt idx="237">
                  <c:v>4.7286896835124397</c:v>
                </c:pt>
                <c:pt idx="238">
                  <c:v>4.7485164456763727</c:v>
                </c:pt>
                <c:pt idx="239">
                  <c:v>4.7683432079458834</c:v>
                </c:pt>
                <c:pt idx="240">
                  <c:v>4.7881699703179121</c:v>
                </c:pt>
                <c:pt idx="241">
                  <c:v>4.8079967327949804</c:v>
                </c:pt>
                <c:pt idx="242">
                  <c:v>4.8278234953955756</c:v>
                </c:pt>
                <c:pt idx="243">
                  <c:v>4.847650258131921</c:v>
                </c:pt>
                <c:pt idx="244">
                  <c:v>4.8674770209501714</c:v>
                </c:pt>
                <c:pt idx="245">
                  <c:v>4.8873037839246232</c:v>
                </c:pt>
                <c:pt idx="246">
                  <c:v>4.9071305470250879</c:v>
                </c:pt>
                <c:pt idx="247">
                  <c:v>4.9269573101277047</c:v>
                </c:pt>
                <c:pt idx="248">
                  <c:v>4.9467840733914752</c:v>
                </c:pt>
                <c:pt idx="249">
                  <c:v>4.9666108367839383</c:v>
                </c:pt>
                <c:pt idx="250">
                  <c:v>4.9864376003617954</c:v>
                </c:pt>
                <c:pt idx="251">
                  <c:v>5.0062643638817077</c:v>
                </c:pt>
                <c:pt idx="252">
                  <c:v>5.026091127618816</c:v>
                </c:pt>
                <c:pt idx="253">
                  <c:v>5.0459178914454101</c:v>
                </c:pt>
                <c:pt idx="254">
                  <c:v>5.0657446553250116</c:v>
                </c:pt>
                <c:pt idx="255">
                  <c:v>5.0855714193347836</c:v>
                </c:pt>
                <c:pt idx="256">
                  <c:v>5.1053981833995046</c:v>
                </c:pt>
                <c:pt idx="257">
                  <c:v>5.1252249476244307</c:v>
                </c:pt>
                <c:pt idx="258">
                  <c:v>5.1450517118906713</c:v>
                </c:pt>
                <c:pt idx="259">
                  <c:v>5.1648784762847697</c:v>
                </c:pt>
                <c:pt idx="260">
                  <c:v>5.1847052407768999</c:v>
                </c:pt>
                <c:pt idx="261">
                  <c:v>5.20453200527857</c:v>
                </c:pt>
                <c:pt idx="262">
                  <c:v>5.2243587699893652</c:v>
                </c:pt>
                <c:pt idx="263">
                  <c:v>5.2441855347101427</c:v>
                </c:pt>
                <c:pt idx="264">
                  <c:v>5.2640122995094938</c:v>
                </c:pt>
                <c:pt idx="265">
                  <c:v>5.2838390644774069</c:v>
                </c:pt>
                <c:pt idx="266">
                  <c:v>5.3036658295014529</c:v>
                </c:pt>
                <c:pt idx="267">
                  <c:v>5.3234925945782843</c:v>
                </c:pt>
                <c:pt idx="268">
                  <c:v>5.3433193597972828</c:v>
                </c:pt>
                <c:pt idx="269">
                  <c:v>5.3631461250991599</c:v>
                </c:pt>
                <c:pt idx="270">
                  <c:v>5.3829728904516916</c:v>
                </c:pt>
                <c:pt idx="271">
                  <c:v>5.4027996558066178</c:v>
                </c:pt>
                <c:pt idx="272">
                  <c:v>5.4226264213594941</c:v>
                </c:pt>
                <c:pt idx="273">
                  <c:v>5.4424531869056221</c:v>
                </c:pt>
                <c:pt idx="274">
                  <c:v>5.4622799525682497</c:v>
                </c:pt>
                <c:pt idx="275">
                  <c:v>5.4821067183528731</c:v>
                </c:pt>
                <c:pt idx="276">
                  <c:v>5.5019334842692027</c:v>
                </c:pt>
                <c:pt idx="277">
                  <c:v>5.5217602500659746</c:v>
                </c:pt>
                <c:pt idx="278">
                  <c:v>5.541587016133966</c:v>
                </c:pt>
                <c:pt idx="279">
                  <c:v>5.5614137821674943</c:v>
                </c:pt>
                <c:pt idx="280">
                  <c:v>5.5812405482732279</c:v>
                </c:pt>
                <c:pt idx="281">
                  <c:v>5.6010673145443217</c:v>
                </c:pt>
                <c:pt idx="282">
                  <c:v>5.6208940807865382</c:v>
                </c:pt>
                <c:pt idx="283">
                  <c:v>5.640720847168545</c:v>
                </c:pt>
                <c:pt idx="284">
                  <c:v>5.6605476135597446</c:v>
                </c:pt>
                <c:pt idx="285">
                  <c:v>5.680374380095917</c:v>
                </c:pt>
                <c:pt idx="286">
                  <c:v>5.7002011467103708</c:v>
                </c:pt>
                <c:pt idx="287">
                  <c:v>5.720027913296506</c:v>
                </c:pt>
                <c:pt idx="288">
                  <c:v>5.7398546800679782</c:v>
                </c:pt>
                <c:pt idx="289">
                  <c:v>5.7596814468343602</c:v>
                </c:pt>
                <c:pt idx="290">
                  <c:v>5.7795082137290494</c:v>
                </c:pt>
                <c:pt idx="291">
                  <c:v>5.7993349805211336</c:v>
                </c:pt>
                <c:pt idx="292">
                  <c:v>5.8191617475785877</c:v>
                </c:pt>
                <c:pt idx="293">
                  <c:v>5.8389885145546021</c:v>
                </c:pt>
                <c:pt idx="294">
                  <c:v>5.8588152817424692</c:v>
                </c:pt>
                <c:pt idx="295">
                  <c:v>5.8786420489564746</c:v>
                </c:pt>
                <c:pt idx="296">
                  <c:v>5.8984688161053258</c:v>
                </c:pt>
                <c:pt idx="297">
                  <c:v>5.9182955834729691</c:v>
                </c:pt>
                <c:pt idx="298">
                  <c:v>5.938122350796827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3-431E-BC76-FA823566C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36976"/>
        <c:axId val="1604140336"/>
      </c:scatterChart>
      <c:valAx>
        <c:axId val="1604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40336"/>
        <c:crosses val="autoZero"/>
        <c:crossBetween val="midCat"/>
      </c:valAx>
      <c:valAx>
        <c:axId val="1604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alpha vs theta(deg)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 vs theta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Sheet1!$B$2:$B$300</c:f>
              <c:numCache>
                <c:formatCode>General</c:formatCode>
                <c:ptCount val="299"/>
                <c:pt idx="0">
                  <c:v>0.38025120669293339</c:v>
                </c:pt>
                <c:pt idx="1">
                  <c:v>0.2299218410014128</c:v>
                </c:pt>
                <c:pt idx="2">
                  <c:v>0.1645846864818947</c:v>
                </c:pt>
                <c:pt idx="3">
                  <c:v>0.1281244985061081</c:v>
                </c:pt>
                <c:pt idx="4">
                  <c:v>0.10487654149803689</c:v>
                </c:pt>
                <c:pt idx="5">
                  <c:v>8.8764789507091421E-2</c:v>
                </c:pt>
                <c:pt idx="6">
                  <c:v>7.6942054814656838E-2</c:v>
                </c:pt>
                <c:pt idx="7">
                  <c:v>6.7897464735939703E-2</c:v>
                </c:pt>
                <c:pt idx="8">
                  <c:v>6.0755017543170392E-2</c:v>
                </c:pt>
                <c:pt idx="9">
                  <c:v>5.4971892400389737E-2</c:v>
                </c:pt>
                <c:pt idx="10">
                  <c:v>5.0193830297331397E-2</c:v>
                </c:pt>
                <c:pt idx="11">
                  <c:v>4.6179812957925621E-2</c:v>
                </c:pt>
                <c:pt idx="12">
                  <c:v>4.2760170076008262E-2</c:v>
                </c:pt>
                <c:pt idx="13">
                  <c:v>3.9812000624043289E-2</c:v>
                </c:pt>
                <c:pt idx="14">
                  <c:v>3.724409868810688E-2</c:v>
                </c:pt>
                <c:pt idx="15">
                  <c:v>3.4987355922669633E-2</c:v>
                </c:pt>
                <c:pt idx="16">
                  <c:v>3.2988452020935859E-2</c:v>
                </c:pt>
                <c:pt idx="17">
                  <c:v>3.1205590107628842E-2</c:v>
                </c:pt>
                <c:pt idx="18">
                  <c:v>2.9605543513592621E-2</c:v>
                </c:pt>
                <c:pt idx="19">
                  <c:v>2.8161566434298211E-2</c:v>
                </c:pt>
                <c:pt idx="20">
                  <c:v>2.685188737192103E-2</c:v>
                </c:pt>
                <c:pt idx="21">
                  <c:v>2.5658604146265869E-2</c:v>
                </c:pt>
                <c:pt idx="22">
                  <c:v>2.4566860915546981E-2</c:v>
                </c:pt>
                <c:pt idx="23">
                  <c:v>2.3564226668096801E-2</c:v>
                </c:pt>
                <c:pt idx="24">
                  <c:v>2.2640219901316028E-2</c:v>
                </c:pt>
                <c:pt idx="25">
                  <c:v>2.1785940886646579E-2</c:v>
                </c:pt>
                <c:pt idx="26">
                  <c:v>2.0993784144368879E-2</c:v>
                </c:pt>
                <c:pt idx="27">
                  <c:v>2.0257211433648309E-2</c:v>
                </c:pt>
                <c:pt idx="28">
                  <c:v>1.9570570902621331E-2</c:v>
                </c:pt>
                <c:pt idx="29">
                  <c:v>1.8928951807174708E-2</c:v>
                </c:pt>
                <c:pt idx="30">
                  <c:v>1.8328066896350938E-2</c:v>
                </c:pt>
                <c:pt idx="31">
                  <c:v>1.7764156506746079E-2</c:v>
                </c:pt>
                <c:pt idx="32">
                  <c:v>1.7233909830795799E-2</c:v>
                </c:pt>
                <c:pt idx="33">
                  <c:v>1.673439987505166E-2</c:v>
                </c:pt>
                <c:pt idx="34">
                  <c:v>1.6263029409546551E-2</c:v>
                </c:pt>
                <c:pt idx="35">
                  <c:v>1.5817485800822869E-2</c:v>
                </c:pt>
                <c:pt idx="36">
                  <c:v>1.53957030705399E-2</c:v>
                </c:pt>
                <c:pt idx="37">
                  <c:v>1.4995829866230289E-2</c:v>
                </c:pt>
                <c:pt idx="38">
                  <c:v>1.4616202296524919E-2</c:v>
                </c:pt>
                <c:pt idx="39">
                  <c:v>1.425532079037181E-2</c:v>
                </c:pt>
                <c:pt idx="40">
                  <c:v>1.391183030141958E-2</c:v>
                </c:pt>
                <c:pt idx="41">
                  <c:v>1.3584503306787321E-2</c:v>
                </c:pt>
                <c:pt idx="42">
                  <c:v>1.3272225150564599E-2</c:v>
                </c:pt>
                <c:pt idx="43">
                  <c:v>1.297398136326783E-2</c:v>
                </c:pt>
                <c:pt idx="44">
                  <c:v>1.2688846653276921E-2</c:v>
                </c:pt>
                <c:pt idx="45">
                  <c:v>1.241597531860634E-2</c:v>
                </c:pt>
                <c:pt idx="46">
                  <c:v>1.215459286969524E-2</c:v>
                </c:pt>
                <c:pt idx="47">
                  <c:v>1.190398868847168E-2</c:v>
                </c:pt>
                <c:pt idx="48">
                  <c:v>1.166350957716698E-2</c:v>
                </c:pt>
                <c:pt idx="49">
                  <c:v>1.1432554073477539E-2</c:v>
                </c:pt>
                <c:pt idx="50">
                  <c:v>1.121056742811494E-2</c:v>
                </c:pt>
                <c:pt idx="51">
                  <c:v>1.0997037156157361E-2</c:v>
                </c:pt>
                <c:pt idx="52">
                  <c:v>1.079148908739264E-2</c:v>
                </c:pt>
                <c:pt idx="53">
                  <c:v>1.059348385139474E-2</c:v>
                </c:pt>
                <c:pt idx="54">
                  <c:v>1.040261374258666E-2</c:v>
                </c:pt>
                <c:pt idx="55">
                  <c:v>1.021849991822665E-2</c:v>
                </c:pt>
                <c:pt idx="56">
                  <c:v>1.004078988868422E-2</c:v>
                </c:pt>
                <c:pt idx="57">
                  <c:v>9.8691552651518702E-3</c:v>
                </c:pt>
                <c:pt idx="58">
                  <c:v>9.7032897345207328E-3</c:v>
                </c:pt>
                <c:pt idx="59">
                  <c:v>9.5429072349718369E-3</c:v>
                </c:pt>
                <c:pt idx="60">
                  <c:v>9.3877403096346533E-3</c:v>
                </c:pt>
                <c:pt idx="61">
                  <c:v>9.2375386182410816E-3</c:v>
                </c:pt>
                <c:pt idx="62">
                  <c:v>9.0920675894344775E-3</c:v>
                </c:pt>
                <c:pt idx="63">
                  <c:v>8.9511071984136742E-3</c:v>
                </c:pt>
                <c:pt idx="64">
                  <c:v>8.814450856556395E-3</c:v>
                </c:pt>
                <c:pt idx="65">
                  <c:v>8.681904401227335E-3</c:v>
                </c:pt>
                <c:pt idx="66">
                  <c:v>8.5532851753516177E-3</c:v>
                </c:pt>
                <c:pt idx="67">
                  <c:v>8.4284211876513859E-3</c:v>
                </c:pt>
                <c:pt idx="68">
                  <c:v>8.3071503453361166E-3</c:v>
                </c:pt>
                <c:pt idx="69">
                  <c:v>8.1893197520876253E-3</c:v>
                </c:pt>
                <c:pt idx="70">
                  <c:v>8.0747850649829575E-3</c:v>
                </c:pt>
                <c:pt idx="71">
                  <c:v>7.9634099046617078E-3</c:v>
                </c:pt>
                <c:pt idx="72">
                  <c:v>7.8550653135394544E-3</c:v>
                </c:pt>
                <c:pt idx="73">
                  <c:v>7.7496292577872196E-3</c:v>
                </c:pt>
                <c:pt idx="74">
                  <c:v>7.6469861687362278E-3</c:v>
                </c:pt>
                <c:pt idx="75">
                  <c:v>7.5470265204238716E-3</c:v>
                </c:pt>
                <c:pt idx="76">
                  <c:v>7.4496464396748207E-3</c:v>
                </c:pt>
                <c:pt idx="77">
                  <c:v>7.3547473461116359E-3</c:v>
                </c:pt>
                <c:pt idx="78">
                  <c:v>7.2622356192493581E-3</c:v>
                </c:pt>
                <c:pt idx="79">
                  <c:v>7.172022290439682E-3</c:v>
                </c:pt>
                <c:pt idx="80">
                  <c:v>7.0840227575331774E-3</c:v>
                </c:pt>
                <c:pt idx="81">
                  <c:v>6.9981565201968163E-3</c:v>
                </c:pt>
                <c:pt idx="82">
                  <c:v>6.9143469343107304E-3</c:v>
                </c:pt>
                <c:pt idx="83">
                  <c:v>6.832520983839188E-3</c:v>
                </c:pt>
                <c:pt idx="84">
                  <c:v>6.7526090686103732E-3</c:v>
                </c:pt>
                <c:pt idx="85">
                  <c:v>6.6745448068994753E-3</c:v>
                </c:pt>
                <c:pt idx="86">
                  <c:v>6.5982648515230408E-3</c:v>
                </c:pt>
                <c:pt idx="87">
                  <c:v>6.5237087183923834E-3</c:v>
                </c:pt>
                <c:pt idx="88">
                  <c:v>6.450818626584926E-3</c:v>
                </c:pt>
                <c:pt idx="89">
                  <c:v>6.37953934895395E-3</c:v>
                </c:pt>
                <c:pt idx="90">
                  <c:v>6.3098180726341088E-3</c:v>
                </c:pt>
                <c:pt idx="91">
                  <c:v>6.2416042685196418E-3</c:v>
                </c:pt>
                <c:pt idx="92">
                  <c:v>6.1748495691701256E-3</c:v>
                </c:pt>
                <c:pt idx="93">
                  <c:v>6.1095076543617689E-3</c:v>
                </c:pt>
                <c:pt idx="94">
                  <c:v>6.0455341439753854E-3</c:v>
                </c:pt>
                <c:pt idx="95">
                  <c:v>5.9828864974449496E-3</c:v>
                </c:pt>
                <c:pt idx="96">
                  <c:v>5.9215239194854432E-3</c:v>
                </c:pt>
                <c:pt idx="97">
                  <c:v>5.8614072713699637E-3</c:v>
                </c:pt>
                <c:pt idx="98">
                  <c:v>5.8024989878281757E-3</c:v>
                </c:pt>
                <c:pt idx="99">
                  <c:v>5.7447629986505369E-3</c:v>
                </c:pt>
                <c:pt idx="100">
                  <c:v>5.6881646551398598E-3</c:v>
                </c:pt>
                <c:pt idx="101">
                  <c:v>5.6326706607241397E-3</c:v>
                </c:pt>
                <c:pt idx="102">
                  <c:v>5.5782490055812676E-3</c:v>
                </c:pt>
                <c:pt idx="103">
                  <c:v>5.524868905196571E-3</c:v>
                </c:pt>
                <c:pt idx="104">
                  <c:v>5.4725007422063406E-3</c:v>
                </c:pt>
                <c:pt idx="105">
                  <c:v>5.4211160115793973E-3</c:v>
                </c:pt>
                <c:pt idx="106">
                  <c:v>5.3706872690033073E-3</c:v>
                </c:pt>
                <c:pt idx="107">
                  <c:v>5.3211880818516289E-3</c:v>
                </c:pt>
                <c:pt idx="108">
                  <c:v>5.2725929830973366E-3</c:v>
                </c:pt>
                <c:pt idx="109">
                  <c:v>5.2248774275953803E-3</c:v>
                </c:pt>
                <c:pt idx="110">
                  <c:v>5.1780177507037232E-3</c:v>
                </c:pt>
                <c:pt idx="111">
                  <c:v>5.1319911291808429E-3</c:v>
                </c:pt>
                <c:pt idx="112">
                  <c:v>5.0867755441786362E-3</c:v>
                </c:pt>
                <c:pt idx="113">
                  <c:v>5.0423497459792244E-3</c:v>
                </c:pt>
                <c:pt idx="114">
                  <c:v>4.9986932208091811E-3</c:v>
                </c:pt>
                <c:pt idx="115">
                  <c:v>4.9557861592607064E-3</c:v>
                </c:pt>
                <c:pt idx="116">
                  <c:v>4.9136094262253903E-3</c:v>
                </c:pt>
                <c:pt idx="117">
                  <c:v>4.8721445325182041E-3</c:v>
                </c:pt>
                <c:pt idx="118">
                  <c:v>4.831373607859301E-3</c:v>
                </c:pt>
                <c:pt idx="119">
                  <c:v>4.7912793751206852E-3</c:v>
                </c:pt>
                <c:pt idx="120">
                  <c:v>4.7518451259814746E-3</c:v>
                </c:pt>
                <c:pt idx="121">
                  <c:v>4.7130546977314043E-3</c:v>
                </c:pt>
                <c:pt idx="122">
                  <c:v>4.6748924510747244E-3</c:v>
                </c:pt>
                <c:pt idx="123">
                  <c:v>4.637343249244621E-3</c:v>
                </c:pt>
                <c:pt idx="124">
                  <c:v>4.6003924378791522E-3</c:v>
                </c:pt>
                <c:pt idx="125">
                  <c:v>4.5640258260125953E-3</c:v>
                </c:pt>
                <c:pt idx="126">
                  <c:v>4.5282296678391511E-3</c:v>
                </c:pt>
                <c:pt idx="127">
                  <c:v>4.4929906454682852E-3</c:v>
                </c:pt>
                <c:pt idx="128">
                  <c:v>4.4582958523990837E-3</c:v>
                </c:pt>
                <c:pt idx="129">
                  <c:v>4.4241327776671814E-3</c:v>
                </c:pt>
                <c:pt idx="130">
                  <c:v>4.3904892909118346E-3</c:v>
                </c:pt>
                <c:pt idx="131">
                  <c:v>4.357353627931649E-3</c:v>
                </c:pt>
                <c:pt idx="132">
                  <c:v>4.3247143770349366E-3</c:v>
                </c:pt>
                <c:pt idx="133">
                  <c:v>4.2925604659091784E-3</c:v>
                </c:pt>
                <c:pt idx="134">
                  <c:v>4.2608811490767399E-3</c:v>
                </c:pt>
                <c:pt idx="135">
                  <c:v>4.2296659960034356E-3</c:v>
                </c:pt>
                <c:pt idx="136">
                  <c:v>4.1989048794762946E-3</c:v>
                </c:pt>
                <c:pt idx="137">
                  <c:v>4.1685879648521284E-3</c:v>
                </c:pt>
                <c:pt idx="138">
                  <c:v>4.1387056994687029E-3</c:v>
                </c:pt>
                <c:pt idx="139">
                  <c:v>4.1092488025996562E-3</c:v>
                </c:pt>
                <c:pt idx="140">
                  <c:v>4.0802082558908286E-3</c:v>
                </c:pt>
                <c:pt idx="141">
                  <c:v>4.0515752940990064E-3</c:v>
                </c:pt>
                <c:pt idx="142">
                  <c:v>4.0233413963547474E-3</c:v>
                </c:pt>
                <c:pt idx="143">
                  <c:v>3.9954982776527473E-3</c:v>
                </c:pt>
                <c:pt idx="144">
                  <c:v>3.9680378807014291E-3</c:v>
                </c:pt>
                <c:pt idx="145">
                  <c:v>3.9409523682403351E-3</c:v>
                </c:pt>
                <c:pt idx="146">
                  <c:v>3.9142341155687056E-3</c:v>
                </c:pt>
                <c:pt idx="147">
                  <c:v>3.887875703297699E-3</c:v>
                </c:pt>
                <c:pt idx="148">
                  <c:v>3.8618699106250328E-3</c:v>
                </c:pt>
                <c:pt idx="149">
                  <c:v>3.8362097085768718E-3</c:v>
                </c:pt>
                <c:pt idx="150">
                  <c:v>3.810888253853346E-3</c:v>
                </c:pt>
                <c:pt idx="151">
                  <c:v>3.7858988825685072E-3</c:v>
                </c:pt>
                <c:pt idx="152">
                  <c:v>3.7612351045526412E-3</c:v>
                </c:pt>
                <c:pt idx="153">
                  <c:v>3.7368905976117831E-3</c:v>
                </c:pt>
                <c:pt idx="154">
                  <c:v>3.7128592022120759E-3</c:v>
                </c:pt>
                <c:pt idx="155">
                  <c:v>3.689134916237324E-3</c:v>
                </c:pt>
                <c:pt idx="156">
                  <c:v>3.6657118900237781E-3</c:v>
                </c:pt>
                <c:pt idx="157">
                  <c:v>3.642584421519897E-3</c:v>
                </c:pt>
                <c:pt idx="158">
                  <c:v>3.6197469516858921E-3</c:v>
                </c:pt>
                <c:pt idx="159">
                  <c:v>3.597194059943987E-3</c:v>
                </c:pt>
                <c:pt idx="160">
                  <c:v>3.574920460100947E-3</c:v>
                </c:pt>
                <c:pt idx="161">
                  <c:v>3.552920996028365E-3</c:v>
                </c:pt>
                <c:pt idx="162">
                  <c:v>3.5311906376699871E-3</c:v>
                </c:pt>
                <c:pt idx="163">
                  <c:v>3.509724477403798E-3</c:v>
                </c:pt>
                <c:pt idx="164">
                  <c:v>3.488517726118454E-3</c:v>
                </c:pt>
                <c:pt idx="165">
                  <c:v>3.4675657098042359E-3</c:v>
                </c:pt>
                <c:pt idx="166">
                  <c:v>3.4468638660801331E-3</c:v>
                </c:pt>
                <c:pt idx="167">
                  <c:v>3.4264077408595541E-3</c:v>
                </c:pt>
                <c:pt idx="168">
                  <c:v>3.4061929851384289E-3</c:v>
                </c:pt>
                <c:pt idx="169">
                  <c:v>3.386215351953535E-3</c:v>
                </c:pt>
                <c:pt idx="170">
                  <c:v>3.366470693428711E-3</c:v>
                </c:pt>
                <c:pt idx="171">
                  <c:v>3.3469549578551859E-3</c:v>
                </c:pt>
                <c:pt idx="172">
                  <c:v>3.3276641868828232E-3</c:v>
                </c:pt>
                <c:pt idx="173">
                  <c:v>3.3085945129692801E-3</c:v>
                </c:pt>
                <c:pt idx="174">
                  <c:v>3.2897421566666701E-3</c:v>
                </c:pt>
                <c:pt idx="175">
                  <c:v>3.2711034242557079E-3</c:v>
                </c:pt>
                <c:pt idx="176">
                  <c:v>3.2526747051340962E-3</c:v>
                </c:pt>
                <c:pt idx="177">
                  <c:v>3.2344524697456179E-3</c:v>
                </c:pt>
                <c:pt idx="178">
                  <c:v>3.2164332671115142E-3</c:v>
                </c:pt>
                <c:pt idx="179">
                  <c:v>3.1986137226834152E-3</c:v>
                </c:pt>
                <c:pt idx="180">
                  <c:v>3.1809905363970048E-3</c:v>
                </c:pt>
                <c:pt idx="181">
                  <c:v>3.1635604804134102E-3</c:v>
                </c:pt>
                <c:pt idx="182">
                  <c:v>3.1463203973179118E-3</c:v>
                </c:pt>
                <c:pt idx="183">
                  <c:v>3.1292671981248592E-3</c:v>
                </c:pt>
                <c:pt idx="184">
                  <c:v>3.1123978605142682E-3</c:v>
                </c:pt>
                <c:pt idx="185">
                  <c:v>3.0957094268475429E-3</c:v>
                </c:pt>
                <c:pt idx="186">
                  <c:v>3.0791990027156878E-3</c:v>
                </c:pt>
                <c:pt idx="187">
                  <c:v>3.0628637551020641E-3</c:v>
                </c:pt>
                <c:pt idx="188">
                  <c:v>3.0467009107687502E-3</c:v>
                </c:pt>
                <c:pt idx="189">
                  <c:v>3.030707754695835E-3</c:v>
                </c:pt>
                <c:pt idx="190">
                  <c:v>3.0148816285794208E-3</c:v>
                </c:pt>
                <c:pt idx="191">
                  <c:v>2.9992199293571698E-3</c:v>
                </c:pt>
                <c:pt idx="192">
                  <c:v>2.9837201078403452E-3</c:v>
                </c:pt>
                <c:pt idx="193">
                  <c:v>2.968379667122966E-3</c:v>
                </c:pt>
                <c:pt idx="194">
                  <c:v>2.953196161552749E-3</c:v>
                </c:pt>
                <c:pt idx="195">
                  <c:v>2.9381671951159071E-3</c:v>
                </c:pt>
                <c:pt idx="196">
                  <c:v>2.9232904204329262E-3</c:v>
                </c:pt>
                <c:pt idx="197">
                  <c:v>2.9085635373977221E-3</c:v>
                </c:pt>
                <c:pt idx="198">
                  <c:v>2.893984291948841E-3</c:v>
                </c:pt>
                <c:pt idx="199">
                  <c:v>2.8795504750572269E-3</c:v>
                </c:pt>
                <c:pt idx="200">
                  <c:v>2.8652599215919839E-3</c:v>
                </c:pt>
                <c:pt idx="201">
                  <c:v>2.8511105091011419E-3</c:v>
                </c:pt>
                <c:pt idx="202">
                  <c:v>2.8371001568981719E-3</c:v>
                </c:pt>
                <c:pt idx="203">
                  <c:v>2.8232268249559489E-3</c:v>
                </c:pt>
                <c:pt idx="204">
                  <c:v>2.8094885130382908E-3</c:v>
                </c:pt>
                <c:pt idx="205">
                  <c:v>2.7958832595631018E-3</c:v>
                </c:pt>
                <c:pt idx="206">
                  <c:v>2.7824091407884438E-3</c:v>
                </c:pt>
                <c:pt idx="207">
                  <c:v>2.7690642698934911E-3</c:v>
                </c:pt>
                <c:pt idx="208">
                  <c:v>2.755846796113715E-3</c:v>
                </c:pt>
                <c:pt idx="209">
                  <c:v>2.742754903812475E-3</c:v>
                </c:pt>
                <c:pt idx="210">
                  <c:v>2.729786811651278E-3</c:v>
                </c:pt>
                <c:pt idx="211">
                  <c:v>2.7169407719454248E-3</c:v>
                </c:pt>
                <c:pt idx="212">
                  <c:v>2.7042150695558418E-3</c:v>
                </c:pt>
                <c:pt idx="213">
                  <c:v>2.691608021581944E-3</c:v>
                </c:pt>
                <c:pt idx="214">
                  <c:v>2.6791179761015281E-3</c:v>
                </c:pt>
                <c:pt idx="215">
                  <c:v>2.666743311926084E-3</c:v>
                </c:pt>
                <c:pt idx="216">
                  <c:v>2.654482437607734E-3</c:v>
                </c:pt>
                <c:pt idx="217">
                  <c:v>2.642333790725023E-3</c:v>
                </c:pt>
                <c:pt idx="218">
                  <c:v>2.630295837458007E-3</c:v>
                </c:pt>
                <c:pt idx="219">
                  <c:v>2.6183670718271219E-3</c:v>
                </c:pt>
                <c:pt idx="220">
                  <c:v>2.6065460149268371E-3</c:v>
                </c:pt>
                <c:pt idx="221">
                  <c:v>2.5948312145830511E-3</c:v>
                </c:pt>
                <c:pt idx="222">
                  <c:v>2.583221244460259E-3</c:v>
                </c:pt>
                <c:pt idx="223">
                  <c:v>2.571714703724525E-3</c:v>
                </c:pt>
                <c:pt idx="224">
                  <c:v>2.5603102164135911E-3</c:v>
                </c:pt>
                <c:pt idx="225">
                  <c:v>2.5490064308107021E-3</c:v>
                </c:pt>
                <c:pt idx="226">
                  <c:v>2.53780201899825E-3</c:v>
                </c:pt>
                <c:pt idx="227">
                  <c:v>2.5266956762901669E-3</c:v>
                </c:pt>
                <c:pt idx="228">
                  <c:v>2.5156861207166958E-3</c:v>
                </c:pt>
                <c:pt idx="229">
                  <c:v>2.504772092564013E-3</c:v>
                </c:pt>
                <c:pt idx="230">
                  <c:v>2.493952353971202E-3</c:v>
                </c:pt>
                <c:pt idx="231">
                  <c:v>2.4832256881847049E-3</c:v>
                </c:pt>
                <c:pt idx="232">
                  <c:v>2.4725908995382549E-3</c:v>
                </c:pt>
                <c:pt idx="233">
                  <c:v>2.462046812557646E-3</c:v>
                </c:pt>
                <c:pt idx="234">
                  <c:v>2.451592271840147E-3</c:v>
                </c:pt>
                <c:pt idx="235">
                  <c:v>2.4412261414592622E-3</c:v>
                </c:pt>
                <c:pt idx="236">
                  <c:v>2.4309473047032411E-3</c:v>
                </c:pt>
                <c:pt idx="237">
                  <c:v>2.4207546635159221E-3</c:v>
                </c:pt>
                <c:pt idx="238">
                  <c:v>2.410647138184297E-3</c:v>
                </c:pt>
                <c:pt idx="239">
                  <c:v>2.4006236670032748E-3</c:v>
                </c:pt>
                <c:pt idx="240">
                  <c:v>2.390683205824605E-3</c:v>
                </c:pt>
                <c:pt idx="241">
                  <c:v>2.3808247277203008E-3</c:v>
                </c:pt>
                <c:pt idx="242">
                  <c:v>2.371047222623992E-3</c:v>
                </c:pt>
                <c:pt idx="243">
                  <c:v>2.3613496969970959E-3</c:v>
                </c:pt>
                <c:pt idx="244">
                  <c:v>2.351731173521034E-3</c:v>
                </c:pt>
                <c:pt idx="245">
                  <c:v>2.3421906906745042E-3</c:v>
                </c:pt>
                <c:pt idx="246">
                  <c:v>2.3327273025261748E-3</c:v>
                </c:pt>
                <c:pt idx="247">
                  <c:v>2.323340078414898E-3</c:v>
                </c:pt>
                <c:pt idx="248">
                  <c:v>2.3140281024666728E-3</c:v>
                </c:pt>
                <c:pt idx="249">
                  <c:v>2.3047904735222701E-3</c:v>
                </c:pt>
                <c:pt idx="250">
                  <c:v>2.295626304713702E-3</c:v>
                </c:pt>
                <c:pt idx="251">
                  <c:v>2.286534723359815E-3</c:v>
                </c:pt>
                <c:pt idx="252">
                  <c:v>2.2775148703128622E-3</c:v>
                </c:pt>
                <c:pt idx="253">
                  <c:v>2.268565900111469E-3</c:v>
                </c:pt>
                <c:pt idx="254">
                  <c:v>2.259686980488838E-3</c:v>
                </c:pt>
                <c:pt idx="255">
                  <c:v>2.2508772921064259E-3</c:v>
                </c:pt>
                <c:pt idx="256">
                  <c:v>2.2421360284207272E-3</c:v>
                </c:pt>
                <c:pt idx="257">
                  <c:v>2.2334623952894261E-3</c:v>
                </c:pt>
                <c:pt idx="258">
                  <c:v>2.224855610908948E-3</c:v>
                </c:pt>
                <c:pt idx="259">
                  <c:v>2.216314905391422E-3</c:v>
                </c:pt>
                <c:pt idx="260">
                  <c:v>2.2078395206755821E-3</c:v>
                </c:pt>
                <c:pt idx="261">
                  <c:v>2.199428710276158E-3</c:v>
                </c:pt>
                <c:pt idx="262">
                  <c:v>2.1910817389183281E-3</c:v>
                </c:pt>
                <c:pt idx="263">
                  <c:v>2.1827978826139652E-3</c:v>
                </c:pt>
                <c:pt idx="264">
                  <c:v>2.174576428170618E-3</c:v>
                </c:pt>
                <c:pt idx="265">
                  <c:v>2.16641667309206E-3</c:v>
                </c:pt>
                <c:pt idx="266">
                  <c:v>2.1583179254695988E-3</c:v>
                </c:pt>
                <c:pt idx="267">
                  <c:v>2.150279503657552E-3</c:v>
                </c:pt>
                <c:pt idx="268">
                  <c:v>2.142300736090225E-3</c:v>
                </c:pt>
                <c:pt idx="269">
                  <c:v>2.1343809611923401E-3</c:v>
                </c:pt>
                <c:pt idx="270">
                  <c:v>2.126519527124541E-3</c:v>
                </c:pt>
                <c:pt idx="271">
                  <c:v>2.1187157916218451E-3</c:v>
                </c:pt>
                <c:pt idx="272">
                  <c:v>2.11096912171735E-3</c:v>
                </c:pt>
                <c:pt idx="273">
                  <c:v>2.1032788938234988E-3</c:v>
                </c:pt>
                <c:pt idx="274">
                  <c:v>2.09564449327966E-3</c:v>
                </c:pt>
                <c:pt idx="275">
                  <c:v>2.0880653143627481E-3</c:v>
                </c:pt>
                <c:pt idx="276">
                  <c:v>2.0805407600792501E-3</c:v>
                </c:pt>
                <c:pt idx="277">
                  <c:v>2.0730702421080881E-3</c:v>
                </c:pt>
                <c:pt idx="278">
                  <c:v>2.0656531803071288E-3</c:v>
                </c:pt>
                <c:pt idx="279">
                  <c:v>2.0582890030670471E-3</c:v>
                </c:pt>
                <c:pt idx="280">
                  <c:v>2.0509771467477019E-3</c:v>
                </c:pt>
                <c:pt idx="281">
                  <c:v>2.043717055695185E-3</c:v>
                </c:pt>
                <c:pt idx="282">
                  <c:v>2.0365081822000999E-3</c:v>
                </c:pt>
                <c:pt idx="283">
                  <c:v>2.029349986122149E-3</c:v>
                </c:pt>
                <c:pt idx="284">
                  <c:v>2.0222419349964359E-3</c:v>
                </c:pt>
                <c:pt idx="285">
                  <c:v>2.0151835036969728E-3</c:v>
                </c:pt>
                <c:pt idx="286">
                  <c:v>2.0081741744758688E-3</c:v>
                </c:pt>
                <c:pt idx="287">
                  <c:v>2.0012134367773382E-3</c:v>
                </c:pt>
                <c:pt idx="288">
                  <c:v>1.994300786988121E-3</c:v>
                </c:pt>
                <c:pt idx="289">
                  <c:v>1.9874357285698391E-3</c:v>
                </c:pt>
                <c:pt idx="290">
                  <c:v>1.9806177716857982E-3</c:v>
                </c:pt>
                <c:pt idx="291">
                  <c:v>1.9738464333225389E-3</c:v>
                </c:pt>
                <c:pt idx="292">
                  <c:v>1.9671212368458902E-3</c:v>
                </c:pt>
                <c:pt idx="293">
                  <c:v>1.96044171233716E-3</c:v>
                </c:pt>
                <c:pt idx="294">
                  <c:v>1.9538073960236142E-3</c:v>
                </c:pt>
                <c:pt idx="295">
                  <c:v>1.947217830549126E-3</c:v>
                </c:pt>
                <c:pt idx="296">
                  <c:v>1.9406725646749961E-3</c:v>
                </c:pt>
                <c:pt idx="297">
                  <c:v>1.934171153086237E-3</c:v>
                </c:pt>
                <c:pt idx="298">
                  <c:v>1.927713156593968E-3</c:v>
                </c:pt>
              </c:numCache>
            </c:numRef>
          </c:xVal>
          <c:yVal>
            <c:numRef>
              <c:f>Sheet1!$D$2:$D$300</c:f>
              <c:numCache>
                <c:formatCode>General</c:formatCode>
                <c:ptCount val="299"/>
                <c:pt idx="0">
                  <c:v>3.0285901522819909E-2</c:v>
                </c:pt>
                <c:pt idx="1">
                  <c:v>4.9896293578279467E-2</c:v>
                </c:pt>
                <c:pt idx="2">
                  <c:v>6.9629351106769044E-2</c:v>
                </c:pt>
                <c:pt idx="3">
                  <c:v>8.9403887494613504E-2</c:v>
                </c:pt>
                <c:pt idx="4">
                  <c:v>0.1091973708641803</c:v>
                </c:pt>
                <c:pt idx="5">
                  <c:v>0.12900108003055261</c:v>
                </c:pt>
                <c:pt idx="6">
                  <c:v>0.14881093251286531</c:v>
                </c:pt>
                <c:pt idx="7">
                  <c:v>0.1686247631949345</c:v>
                </c:pt>
                <c:pt idx="8">
                  <c:v>0.18844131720683849</c:v>
                </c:pt>
                <c:pt idx="9">
                  <c:v>0.2082598171507076</c:v>
                </c:pt>
                <c:pt idx="10">
                  <c:v>0.22807975576439321</c:v>
                </c:pt>
                <c:pt idx="11">
                  <c:v>0.24790078797847331</c:v>
                </c:pt>
                <c:pt idx="12">
                  <c:v>0.26772267089667168</c:v>
                </c:pt>
                <c:pt idx="13">
                  <c:v>0.28754522858960357</c:v>
                </c:pt>
                <c:pt idx="14">
                  <c:v>0.30736833050616058</c:v>
                </c:pt>
                <c:pt idx="15">
                  <c:v>0.32719187773008412</c:v>
                </c:pt>
                <c:pt idx="16">
                  <c:v>0.34701579394581678</c:v>
                </c:pt>
                <c:pt idx="17">
                  <c:v>0.36684001933273802</c:v>
                </c:pt>
                <c:pt idx="18">
                  <c:v>0.38666450633740962</c:v>
                </c:pt>
                <c:pt idx="19">
                  <c:v>0.40648921668248561</c:v>
                </c:pt>
                <c:pt idx="20">
                  <c:v>0.42631411921029921</c:v>
                </c:pt>
                <c:pt idx="21">
                  <c:v>0.44613918830092181</c:v>
                </c:pt>
                <c:pt idx="22">
                  <c:v>0.46596440269459849</c:v>
                </c:pt>
                <c:pt idx="23">
                  <c:v>0.4857897446016497</c:v>
                </c:pt>
                <c:pt idx="24">
                  <c:v>0.5056151990225175</c:v>
                </c:pt>
                <c:pt idx="25">
                  <c:v>0.52544075322161321</c:v>
                </c:pt>
                <c:pt idx="26">
                  <c:v>0.54526639631499063</c:v>
                </c:pt>
                <c:pt idx="27">
                  <c:v>0.56509211894657219</c:v>
                </c:pt>
                <c:pt idx="28">
                  <c:v>0.58491791302848717</c:v>
                </c:pt>
                <c:pt idx="29">
                  <c:v>0.60474377153364056</c:v>
                </c:pt>
                <c:pt idx="30">
                  <c:v>0.62456968832675142</c:v>
                </c:pt>
                <c:pt idx="31">
                  <c:v>0.64439565802804322</c:v>
                </c:pt>
                <c:pt idx="32">
                  <c:v>0.66422167589982828</c:v>
                </c:pt>
                <c:pt idx="33">
                  <c:v>0.68404773775343264</c:v>
                </c:pt>
                <c:pt idx="34">
                  <c:v>0.70387383987266172</c:v>
                </c:pt>
                <c:pt idx="35">
                  <c:v>0.72369997894806182</c:v>
                </c:pt>
                <c:pt idx="36">
                  <c:v>0.74352615202358097</c:v>
                </c:pt>
                <c:pt idx="37">
                  <c:v>0.76335235644936839</c:v>
                </c:pt>
                <c:pt idx="38">
                  <c:v>0.78317858984533706</c:v>
                </c:pt>
                <c:pt idx="39">
                  <c:v>0.80300485006526268</c:v>
                </c:pt>
                <c:pt idx="40">
                  <c:v>0.82283113517008977</c:v>
                </c:pt>
                <c:pt idx="41">
                  <c:v>0.84265744340328996</c:v>
                </c:pt>
                <c:pt idx="42">
                  <c:v>0.86248377317002067</c:v>
                </c:pt>
                <c:pt idx="43">
                  <c:v>0.88231012301861034</c:v>
                </c:pt>
                <c:pt idx="44">
                  <c:v>0.90213649162515064</c:v>
                </c:pt>
                <c:pt idx="45">
                  <c:v>0.92196287777932762</c:v>
                </c:pt>
                <c:pt idx="46">
                  <c:v>0.94178928037299614</c:v>
                </c:pt>
                <c:pt idx="47">
                  <c:v>0.96161569838953942</c:v>
                </c:pt>
                <c:pt idx="48">
                  <c:v>0.98144213089320942</c:v>
                </c:pt>
                <c:pt idx="49">
                  <c:v>1.001268577025328</c:v>
                </c:pt>
                <c:pt idx="50">
                  <c:v>1.021095035990246</c:v>
                </c:pt>
                <c:pt idx="51">
                  <c:v>1.04092150705548</c:v>
                </c:pt>
                <c:pt idx="52">
                  <c:v>1.0607479895421721</c:v>
                </c:pt>
                <c:pt idx="53">
                  <c:v>1.0805744828219299</c:v>
                </c:pt>
                <c:pt idx="54">
                  <c:v>1.1004009863123061</c:v>
                </c:pt>
                <c:pt idx="55">
                  <c:v>1.1202274994693291</c:v>
                </c:pt>
                <c:pt idx="56">
                  <c:v>1.1400540217887249</c:v>
                </c:pt>
                <c:pt idx="57">
                  <c:v>1.159880552802917</c:v>
                </c:pt>
                <c:pt idx="58">
                  <c:v>1.17970709207159</c:v>
                </c:pt>
                <c:pt idx="59">
                  <c:v>1.199533639185943</c:v>
                </c:pt>
                <c:pt idx="60">
                  <c:v>1.2193601937627601</c:v>
                </c:pt>
                <c:pt idx="61">
                  <c:v>1.2391867554443901</c:v>
                </c:pt>
                <c:pt idx="62">
                  <c:v>1.2590133238948289</c:v>
                </c:pt>
                <c:pt idx="63">
                  <c:v>1.2788398987994309</c:v>
                </c:pt>
                <c:pt idx="64">
                  <c:v>1.298666479862979</c:v>
                </c:pt>
                <c:pt idx="65">
                  <c:v>1.318493066807114</c:v>
                </c:pt>
                <c:pt idx="66">
                  <c:v>1.3383196593717679</c:v>
                </c:pt>
                <c:pt idx="67">
                  <c:v>1.3581462573096661</c:v>
                </c:pt>
                <c:pt idx="68">
                  <c:v>1.377972860387304</c:v>
                </c:pt>
                <c:pt idx="69">
                  <c:v>1.39779946838717</c:v>
                </c:pt>
                <c:pt idx="70">
                  <c:v>1.4176260811050829</c:v>
                </c:pt>
                <c:pt idx="71">
                  <c:v>1.4374526983426921</c:v>
                </c:pt>
                <c:pt idx="72">
                  <c:v>1.457279319918356</c:v>
                </c:pt>
                <c:pt idx="73">
                  <c:v>1.4771059456535589</c:v>
                </c:pt>
                <c:pt idx="74">
                  <c:v>1.4969325753878999</c:v>
                </c:pt>
                <c:pt idx="75">
                  <c:v>1.516759208960389</c:v>
                </c:pt>
                <c:pt idx="76">
                  <c:v>1.5365858462243751</c:v>
                </c:pt>
                <c:pt idx="77">
                  <c:v>1.5564124870367171</c:v>
                </c:pt>
                <c:pt idx="78">
                  <c:v>1.576239131264447</c:v>
                </c:pt>
                <c:pt idx="79">
                  <c:v>1.5960657787836761</c:v>
                </c:pt>
                <c:pt idx="80">
                  <c:v>1.6158924294693839</c:v>
                </c:pt>
                <c:pt idx="81">
                  <c:v>1.6357190832069419</c:v>
                </c:pt>
                <c:pt idx="82">
                  <c:v>1.655545739890018</c:v>
                </c:pt>
                <c:pt idx="83">
                  <c:v>1.675372399409683</c:v>
                </c:pt>
                <c:pt idx="84">
                  <c:v>1.695199061667829</c:v>
                </c:pt>
                <c:pt idx="85">
                  <c:v>1.7150257265702249</c:v>
                </c:pt>
                <c:pt idx="86">
                  <c:v>1.734852394025814</c:v>
                </c:pt>
                <c:pt idx="87">
                  <c:v>1.7546790639483709</c:v>
                </c:pt>
                <c:pt idx="88">
                  <c:v>1.7745057362515451</c:v>
                </c:pt>
                <c:pt idx="89">
                  <c:v>1.794332410861694</c:v>
                </c:pt>
                <c:pt idx="90">
                  <c:v>1.814159087702885</c:v>
                </c:pt>
                <c:pt idx="91">
                  <c:v>1.833985766703047</c:v>
                </c:pt>
                <c:pt idx="92">
                  <c:v>1.853812447784966</c:v>
                </c:pt>
                <c:pt idx="93">
                  <c:v>1.8736391308893141</c:v>
                </c:pt>
                <c:pt idx="94">
                  <c:v>1.8934658159533571</c:v>
                </c:pt>
                <c:pt idx="95">
                  <c:v>1.9132925029199821</c:v>
                </c:pt>
                <c:pt idx="96">
                  <c:v>1.933119191717408</c:v>
                </c:pt>
                <c:pt idx="97">
                  <c:v>1.952945882301983</c:v>
                </c:pt>
                <c:pt idx="98">
                  <c:v>1.9727725746114231</c:v>
                </c:pt>
                <c:pt idx="99">
                  <c:v>1.992599268603743</c:v>
                </c:pt>
                <c:pt idx="100">
                  <c:v>2.0124259642231701</c:v>
                </c:pt>
                <c:pt idx="101">
                  <c:v>2.0322526614159262</c:v>
                </c:pt>
                <c:pt idx="102">
                  <c:v>2.0520793601508531</c:v>
                </c:pt>
                <c:pt idx="103">
                  <c:v>2.0719060603740012</c:v>
                </c:pt>
                <c:pt idx="104">
                  <c:v>2.091732762040186</c:v>
                </c:pt>
                <c:pt idx="105">
                  <c:v>2.1115594651223959</c:v>
                </c:pt>
                <c:pt idx="106">
                  <c:v>2.131386169564141</c:v>
                </c:pt>
                <c:pt idx="107">
                  <c:v>2.151212875339541</c:v>
                </c:pt>
                <c:pt idx="108">
                  <c:v>2.1710395824099571</c:v>
                </c:pt>
                <c:pt idx="109">
                  <c:v>2.190866290734081</c:v>
                </c:pt>
                <c:pt idx="110">
                  <c:v>2.2106930002845688</c:v>
                </c:pt>
                <c:pt idx="111">
                  <c:v>2.2305197110353361</c:v>
                </c:pt>
                <c:pt idx="112">
                  <c:v>2.2503464229356052</c:v>
                </c:pt>
                <c:pt idx="113">
                  <c:v>2.2701731359705319</c:v>
                </c:pt>
                <c:pt idx="114">
                  <c:v>2.2899998501125438</c:v>
                </c:pt>
                <c:pt idx="115">
                  <c:v>2.3098265653177061</c:v>
                </c:pt>
                <c:pt idx="116">
                  <c:v>2.3296532815693061</c:v>
                </c:pt>
                <c:pt idx="117">
                  <c:v>2.3494799988427451</c:v>
                </c:pt>
                <c:pt idx="118">
                  <c:v>2.3693067171013982</c:v>
                </c:pt>
                <c:pt idx="119">
                  <c:v>2.3891334363323962</c:v>
                </c:pt>
                <c:pt idx="120">
                  <c:v>2.40896015651485</c:v>
                </c:pt>
                <c:pt idx="121">
                  <c:v>2.4287868776092041</c:v>
                </c:pt>
                <c:pt idx="122">
                  <c:v>2.448613599612365</c:v>
                </c:pt>
                <c:pt idx="123">
                  <c:v>2.4684403224873699</c:v>
                </c:pt>
                <c:pt idx="124">
                  <c:v>2.4882670462177559</c:v>
                </c:pt>
                <c:pt idx="125">
                  <c:v>2.5080937707761839</c:v>
                </c:pt>
                <c:pt idx="126">
                  <c:v>2.5279204961597199</c:v>
                </c:pt>
                <c:pt idx="127">
                  <c:v>2.547747222347347</c:v>
                </c:pt>
                <c:pt idx="128">
                  <c:v>2.5675739493014751</c:v>
                </c:pt>
                <c:pt idx="129">
                  <c:v>2.5874006770205971</c:v>
                </c:pt>
                <c:pt idx="130">
                  <c:v>2.6072274054774951</c:v>
                </c:pt>
                <c:pt idx="131">
                  <c:v>2.6270541346676439</c:v>
                </c:pt>
                <c:pt idx="132">
                  <c:v>2.6468808645708379</c:v>
                </c:pt>
                <c:pt idx="133">
                  <c:v>2.6667075951668382</c:v>
                </c:pt>
                <c:pt idx="134">
                  <c:v>2.6865343264486832</c:v>
                </c:pt>
                <c:pt idx="135">
                  <c:v>2.7063610583717002</c:v>
                </c:pt>
                <c:pt idx="136">
                  <c:v>2.7261877909623511</c:v>
                </c:pt>
                <c:pt idx="137">
                  <c:v>2.7460145241899321</c:v>
                </c:pt>
                <c:pt idx="138">
                  <c:v>2.7658412580329679</c:v>
                </c:pt>
                <c:pt idx="139">
                  <c:v>2.785667992486486</c:v>
                </c:pt>
                <c:pt idx="140">
                  <c:v>2.805494727531443</c:v>
                </c:pt>
                <c:pt idx="141">
                  <c:v>2.825321463172747</c:v>
                </c:pt>
                <c:pt idx="142">
                  <c:v>2.8451481993821321</c:v>
                </c:pt>
                <c:pt idx="143">
                  <c:v>2.8649749361355799</c:v>
                </c:pt>
                <c:pt idx="144">
                  <c:v>2.884801673446304</c:v>
                </c:pt>
                <c:pt idx="145">
                  <c:v>2.90462841130033</c:v>
                </c:pt>
                <c:pt idx="146">
                  <c:v>2.924455149665079</c:v>
                </c:pt>
                <c:pt idx="147">
                  <c:v>2.944281888557593</c:v>
                </c:pt>
                <c:pt idx="148">
                  <c:v>2.964108627937823</c:v>
                </c:pt>
                <c:pt idx="149">
                  <c:v>2.983935367831597</c:v>
                </c:pt>
                <c:pt idx="150">
                  <c:v>3.0037621081937429</c:v>
                </c:pt>
                <c:pt idx="151">
                  <c:v>3.0235888490434002</c:v>
                </c:pt>
                <c:pt idx="152">
                  <c:v>3.0434155903476929</c:v>
                </c:pt>
                <c:pt idx="153">
                  <c:v>3.063242332117269</c:v>
                </c:pt>
                <c:pt idx="154">
                  <c:v>3.0830690743367151</c:v>
                </c:pt>
                <c:pt idx="155">
                  <c:v>3.1028958170021239</c:v>
                </c:pt>
                <c:pt idx="156">
                  <c:v>3.122722560094068</c:v>
                </c:pt>
                <c:pt idx="157">
                  <c:v>3.1425493036038681</c:v>
                </c:pt>
                <c:pt idx="158">
                  <c:v>3.1623760475104761</c:v>
                </c:pt>
                <c:pt idx="159">
                  <c:v>3.1822027918637321</c:v>
                </c:pt>
                <c:pt idx="160">
                  <c:v>3.2020295365991451</c:v>
                </c:pt>
                <c:pt idx="161">
                  <c:v>3.2218562817019119</c:v>
                </c:pt>
                <c:pt idx="162">
                  <c:v>3.241683027222412</c:v>
                </c:pt>
                <c:pt idx="163">
                  <c:v>3.2615097730978708</c:v>
                </c:pt>
                <c:pt idx="164">
                  <c:v>3.281336519360206</c:v>
                </c:pt>
                <c:pt idx="165">
                  <c:v>3.301163265996288</c:v>
                </c:pt>
                <c:pt idx="166">
                  <c:v>3.3209900129822669</c:v>
                </c:pt>
                <c:pt idx="167">
                  <c:v>3.3408167603045862</c:v>
                </c:pt>
                <c:pt idx="168">
                  <c:v>3.3606435079774459</c:v>
                </c:pt>
                <c:pt idx="169">
                  <c:v>3.3804702560037838</c:v>
                </c:pt>
                <c:pt idx="170">
                  <c:v>3.400297004353559</c:v>
                </c:pt>
                <c:pt idx="171">
                  <c:v>3.4201237530114081</c:v>
                </c:pt>
                <c:pt idx="172">
                  <c:v>3.439950502015733</c:v>
                </c:pt>
                <c:pt idx="173">
                  <c:v>3.4597772513303831</c:v>
                </c:pt>
                <c:pt idx="174">
                  <c:v>3.479604000976007</c:v>
                </c:pt>
                <c:pt idx="175">
                  <c:v>3.499430750892909</c:v>
                </c:pt>
                <c:pt idx="176">
                  <c:v>3.5192575011516061</c:v>
                </c:pt>
                <c:pt idx="177">
                  <c:v>3.5390842516749981</c:v>
                </c:pt>
                <c:pt idx="178">
                  <c:v>3.5589110024677511</c:v>
                </c:pt>
                <c:pt idx="179">
                  <c:v>3.5787377535855049</c:v>
                </c:pt>
                <c:pt idx="180">
                  <c:v>3.5985645049562112</c:v>
                </c:pt>
                <c:pt idx="181">
                  <c:v>3.6183912566258689</c:v>
                </c:pt>
                <c:pt idx="182">
                  <c:v>3.6382180085690359</c:v>
                </c:pt>
                <c:pt idx="183">
                  <c:v>3.6580447607880608</c:v>
                </c:pt>
                <c:pt idx="184">
                  <c:v>3.6778715132180761</c:v>
                </c:pt>
                <c:pt idx="185">
                  <c:v>3.697698265960494</c:v>
                </c:pt>
                <c:pt idx="186">
                  <c:v>3.717525018957851</c:v>
                </c:pt>
                <c:pt idx="187">
                  <c:v>3.7373517721848342</c:v>
                </c:pt>
                <c:pt idx="188">
                  <c:v>3.7571785256414949</c:v>
                </c:pt>
                <c:pt idx="189">
                  <c:v>3.777005279343626</c:v>
                </c:pt>
                <c:pt idx="190">
                  <c:v>3.7968320333004222</c:v>
                </c:pt>
                <c:pt idx="191">
                  <c:v>3.816658787515975</c:v>
                </c:pt>
                <c:pt idx="192">
                  <c:v>3.836485541912666</c:v>
                </c:pt>
                <c:pt idx="193">
                  <c:v>3.856312296596577</c:v>
                </c:pt>
                <c:pt idx="194">
                  <c:v>3.876139051457868</c:v>
                </c:pt>
                <c:pt idx="195">
                  <c:v>3.8959658065776281</c:v>
                </c:pt>
                <c:pt idx="196">
                  <c:v>3.915792561894639</c:v>
                </c:pt>
                <c:pt idx="197">
                  <c:v>3.935619317385481</c:v>
                </c:pt>
                <c:pt idx="198">
                  <c:v>3.9554460731256582</c:v>
                </c:pt>
                <c:pt idx="199">
                  <c:v>3.9752728291043322</c:v>
                </c:pt>
                <c:pt idx="200">
                  <c:v>3.995099585245554</c:v>
                </c:pt>
                <c:pt idx="201">
                  <c:v>4.0149263415972376</c:v>
                </c:pt>
                <c:pt idx="202">
                  <c:v>4.0347530981420689</c:v>
                </c:pt>
                <c:pt idx="203">
                  <c:v>4.0545798549177734</c:v>
                </c:pt>
                <c:pt idx="204">
                  <c:v>4.0744066118432647</c:v>
                </c:pt>
                <c:pt idx="205">
                  <c:v>4.0942333689696468</c:v>
                </c:pt>
                <c:pt idx="206">
                  <c:v>4.1140601263097327</c:v>
                </c:pt>
                <c:pt idx="207">
                  <c:v>4.1338868838544229</c:v>
                </c:pt>
                <c:pt idx="208">
                  <c:v>4.1537136415475224</c:v>
                </c:pt>
                <c:pt idx="209">
                  <c:v>4.1735403993941276</c:v>
                </c:pt>
                <c:pt idx="210">
                  <c:v>4.1933671574610356</c:v>
                </c:pt>
                <c:pt idx="211">
                  <c:v>4.2131939156259373</c:v>
                </c:pt>
                <c:pt idx="212">
                  <c:v>4.2330206740739094</c:v>
                </c:pt>
                <c:pt idx="213">
                  <c:v>4.2528474325912597</c:v>
                </c:pt>
                <c:pt idx="214">
                  <c:v>4.272674191372885</c:v>
                </c:pt>
                <c:pt idx="215">
                  <c:v>4.2925009502741016</c:v>
                </c:pt>
                <c:pt idx="216">
                  <c:v>4.31232770926822</c:v>
                </c:pt>
                <c:pt idx="217">
                  <c:v>4.332154468504493</c:v>
                </c:pt>
                <c:pt idx="218">
                  <c:v>4.3519812279211854</c:v>
                </c:pt>
                <c:pt idx="219">
                  <c:v>4.3718079874286921</c:v>
                </c:pt>
                <c:pt idx="220">
                  <c:v>4.3916347471412438</c:v>
                </c:pt>
                <c:pt idx="221">
                  <c:v>4.4114615069296699</c:v>
                </c:pt>
                <c:pt idx="222">
                  <c:v>4.431288266921606</c:v>
                </c:pt>
                <c:pt idx="223">
                  <c:v>4.4511150270945974</c:v>
                </c:pt>
                <c:pt idx="224">
                  <c:v>4.4709417873852493</c:v>
                </c:pt>
                <c:pt idx="225">
                  <c:v>4.4907685478242101</c:v>
                </c:pt>
                <c:pt idx="226">
                  <c:v>4.5105953083845156</c:v>
                </c:pt>
                <c:pt idx="227">
                  <c:v>4.5304220690642856</c:v>
                </c:pt>
                <c:pt idx="228">
                  <c:v>4.5502488299037447</c:v>
                </c:pt>
                <c:pt idx="229">
                  <c:v>4.5700755909270496</c:v>
                </c:pt>
                <c:pt idx="230">
                  <c:v>4.5899023519989823</c:v>
                </c:pt>
                <c:pt idx="231">
                  <c:v>4.6097291133331257</c:v>
                </c:pt>
                <c:pt idx="232">
                  <c:v>4.6295558746906966</c:v>
                </c:pt>
                <c:pt idx="233">
                  <c:v>4.6493826362122972</c:v>
                </c:pt>
                <c:pt idx="234">
                  <c:v>4.6692093978392437</c:v>
                </c:pt>
                <c:pt idx="235">
                  <c:v>4.6890361596375563</c:v>
                </c:pt>
                <c:pt idx="236">
                  <c:v>4.7088629215128721</c:v>
                </c:pt>
                <c:pt idx="237">
                  <c:v>4.7286896835124397</c:v>
                </c:pt>
                <c:pt idx="238">
                  <c:v>4.7485164456763727</c:v>
                </c:pt>
                <c:pt idx="239">
                  <c:v>4.7683432079458834</c:v>
                </c:pt>
                <c:pt idx="240">
                  <c:v>4.7881699703179121</c:v>
                </c:pt>
                <c:pt idx="241">
                  <c:v>4.8079967327949804</c:v>
                </c:pt>
                <c:pt idx="242">
                  <c:v>4.8278234953955756</c:v>
                </c:pt>
                <c:pt idx="243">
                  <c:v>4.847650258131921</c:v>
                </c:pt>
                <c:pt idx="244">
                  <c:v>4.8674770209501714</c:v>
                </c:pt>
                <c:pt idx="245">
                  <c:v>4.8873037839246232</c:v>
                </c:pt>
                <c:pt idx="246">
                  <c:v>4.9071305470250879</c:v>
                </c:pt>
                <c:pt idx="247">
                  <c:v>4.9269573101277047</c:v>
                </c:pt>
                <c:pt idx="248">
                  <c:v>4.9467840733914752</c:v>
                </c:pt>
                <c:pt idx="249">
                  <c:v>4.9666108367839383</c:v>
                </c:pt>
                <c:pt idx="250">
                  <c:v>4.9864376003617954</c:v>
                </c:pt>
                <c:pt idx="251">
                  <c:v>5.0062643638817077</c:v>
                </c:pt>
                <c:pt idx="252">
                  <c:v>5.026091127618816</c:v>
                </c:pt>
                <c:pt idx="253">
                  <c:v>5.0459178914454101</c:v>
                </c:pt>
                <c:pt idx="254">
                  <c:v>5.0657446553250116</c:v>
                </c:pt>
                <c:pt idx="255">
                  <c:v>5.0855714193347836</c:v>
                </c:pt>
                <c:pt idx="256">
                  <c:v>5.1053981833995046</c:v>
                </c:pt>
                <c:pt idx="257">
                  <c:v>5.1252249476244307</c:v>
                </c:pt>
                <c:pt idx="258">
                  <c:v>5.1450517118906713</c:v>
                </c:pt>
                <c:pt idx="259">
                  <c:v>5.1648784762847697</c:v>
                </c:pt>
                <c:pt idx="260">
                  <c:v>5.1847052407768999</c:v>
                </c:pt>
                <c:pt idx="261">
                  <c:v>5.20453200527857</c:v>
                </c:pt>
                <c:pt idx="262">
                  <c:v>5.2243587699893652</c:v>
                </c:pt>
                <c:pt idx="263">
                  <c:v>5.2441855347101427</c:v>
                </c:pt>
                <c:pt idx="264">
                  <c:v>5.2640122995094938</c:v>
                </c:pt>
                <c:pt idx="265">
                  <c:v>5.2838390644774069</c:v>
                </c:pt>
                <c:pt idx="266">
                  <c:v>5.3036658295014529</c:v>
                </c:pt>
                <c:pt idx="267">
                  <c:v>5.3234925945782843</c:v>
                </c:pt>
                <c:pt idx="268">
                  <c:v>5.3433193597972828</c:v>
                </c:pt>
                <c:pt idx="269">
                  <c:v>5.3631461250991599</c:v>
                </c:pt>
                <c:pt idx="270">
                  <c:v>5.3829728904516916</c:v>
                </c:pt>
                <c:pt idx="271">
                  <c:v>5.4027996558066178</c:v>
                </c:pt>
                <c:pt idx="272">
                  <c:v>5.4226264213594941</c:v>
                </c:pt>
                <c:pt idx="273">
                  <c:v>5.4424531869056221</c:v>
                </c:pt>
                <c:pt idx="274">
                  <c:v>5.4622799525682497</c:v>
                </c:pt>
                <c:pt idx="275">
                  <c:v>5.4821067183528731</c:v>
                </c:pt>
                <c:pt idx="276">
                  <c:v>5.5019334842692027</c:v>
                </c:pt>
                <c:pt idx="277">
                  <c:v>5.5217602500659746</c:v>
                </c:pt>
                <c:pt idx="278">
                  <c:v>5.541587016133966</c:v>
                </c:pt>
                <c:pt idx="279">
                  <c:v>5.5614137821674943</c:v>
                </c:pt>
                <c:pt idx="280">
                  <c:v>5.5812405482732279</c:v>
                </c:pt>
                <c:pt idx="281">
                  <c:v>5.6010673145443217</c:v>
                </c:pt>
                <c:pt idx="282">
                  <c:v>5.6208940807865382</c:v>
                </c:pt>
                <c:pt idx="283">
                  <c:v>5.640720847168545</c:v>
                </c:pt>
                <c:pt idx="284">
                  <c:v>5.6605476135597446</c:v>
                </c:pt>
                <c:pt idx="285">
                  <c:v>5.680374380095917</c:v>
                </c:pt>
                <c:pt idx="286">
                  <c:v>5.7002011467103708</c:v>
                </c:pt>
                <c:pt idx="287">
                  <c:v>5.720027913296506</c:v>
                </c:pt>
                <c:pt idx="288">
                  <c:v>5.7398546800679782</c:v>
                </c:pt>
                <c:pt idx="289">
                  <c:v>5.7596814468343602</c:v>
                </c:pt>
                <c:pt idx="290">
                  <c:v>5.7795082137290494</c:v>
                </c:pt>
                <c:pt idx="291">
                  <c:v>5.7993349805211336</c:v>
                </c:pt>
                <c:pt idx="292">
                  <c:v>5.8191617475785877</c:v>
                </c:pt>
                <c:pt idx="293">
                  <c:v>5.8389885145546021</c:v>
                </c:pt>
                <c:pt idx="294">
                  <c:v>5.8588152817424692</c:v>
                </c:pt>
                <c:pt idx="295">
                  <c:v>5.8786420489564746</c:v>
                </c:pt>
                <c:pt idx="296">
                  <c:v>5.8984688161053258</c:v>
                </c:pt>
                <c:pt idx="297">
                  <c:v>5.9182955834729691</c:v>
                </c:pt>
                <c:pt idx="298">
                  <c:v>5.938122350796827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3-4B05-AB48-70BD9586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36976"/>
        <c:axId val="1604140336"/>
      </c:scatterChart>
      <c:valAx>
        <c:axId val="1604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40336"/>
        <c:crosses val="autoZero"/>
        <c:crossBetween val="midCat"/>
      </c:valAx>
      <c:valAx>
        <c:axId val="1604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alpha vs theta(deg)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alpha(m) vs 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(Sheet1!$D$31,Sheet1!$D$65,Sheet1!$D$92,Sheet1!$D$137,Sheet1!$D$167)</c:f>
              <c:numCache>
                <c:formatCode>General</c:formatCode>
                <c:ptCount val="5"/>
                <c:pt idx="0">
                  <c:v>0.60474377153364056</c:v>
                </c:pt>
                <c:pt idx="1">
                  <c:v>1.2788398987994309</c:v>
                </c:pt>
                <c:pt idx="2">
                  <c:v>1.814159087702885</c:v>
                </c:pt>
                <c:pt idx="3">
                  <c:v>2.7063610583717002</c:v>
                </c:pt>
                <c:pt idx="4">
                  <c:v>3.301163265996288</c:v>
                </c:pt>
              </c:numCache>
            </c:numRef>
          </c:xVal>
          <c:yVal>
            <c:numRef>
              <c:f>(Sheet1!$H$31,Sheet1!$H$65,Sheet1!$H$92,Sheet1!$H$137,Sheet1!$H$167)</c:f>
              <c:numCache>
                <c:formatCode>0_);[Red]\(0\)</c:formatCode>
                <c:ptCount val="5"/>
                <c:pt idx="0">
                  <c:v>1.325781069</c:v>
                </c:pt>
                <c:pt idx="1">
                  <c:v>2.803635952</c:v>
                </c:pt>
                <c:pt idx="2">
                  <c:v>3.977237642</c:v>
                </c:pt>
                <c:pt idx="3">
                  <c:v>5.9332453149999997</c:v>
                </c:pt>
                <c:pt idx="4">
                  <c:v>7.2372517370000002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4F-4C3B-ABAB-FBCBD0D6E8F1}"/>
            </c:ext>
          </c:extLst>
        </c:ser>
        <c:ser>
          <c:idx val="0"/>
          <c:order val="1"/>
          <c:tx>
            <c:v>alpha(m) vs nL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(Sheet1!$D$31,Sheet1!$D$65,Sheet1!$D$92,Sheet1!$D$137,Sheet1!$D$167)</c:f>
              <c:numCache>
                <c:formatCode>General</c:formatCode>
                <c:ptCount val="5"/>
                <c:pt idx="0">
                  <c:v>0.60474377153364056</c:v>
                </c:pt>
                <c:pt idx="1">
                  <c:v>1.2788398987994309</c:v>
                </c:pt>
                <c:pt idx="2">
                  <c:v>1.814159087702885</c:v>
                </c:pt>
                <c:pt idx="3">
                  <c:v>2.7063610583717002</c:v>
                </c:pt>
                <c:pt idx="4">
                  <c:v>3.301163265996288</c:v>
                </c:pt>
              </c:numCache>
            </c:numRef>
          </c:xVal>
          <c:yVal>
            <c:numRef>
              <c:f>(Sheet1!$I$31,Sheet1!$I$65,Sheet1!$I$92,Sheet1!$I$137,Sheet1!$I$167)</c:f>
              <c:numCache>
                <c:formatCode>General</c:formatCode>
                <c:ptCount val="5"/>
                <c:pt idx="0">
                  <c:v>2.6515621380000001</c:v>
                </c:pt>
                <c:pt idx="1">
                  <c:v>5.6072719040000001</c:v>
                </c:pt>
                <c:pt idx="2">
                  <c:v>7.9544752839999999</c:v>
                </c:pt>
                <c:pt idx="3">
                  <c:v>11.866490629999999</c:v>
                </c:pt>
                <c:pt idx="4">
                  <c:v>14.474503474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4F-4C3B-ABAB-FBCBD0D6E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36976"/>
        <c:axId val="1604140336"/>
      </c:scatterChart>
      <c:valAx>
        <c:axId val="1604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40336"/>
        <c:crosses val="autoZero"/>
        <c:crossBetween val="midCat"/>
      </c:valAx>
      <c:valAx>
        <c:axId val="1604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1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88518310448148"/>
          <c:y val="3.6281179138321996E-2"/>
          <c:w val="0.78010311915322128"/>
          <c:h val="0.829468459299730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工作表1!$E$1</c:f>
              <c:strCache>
                <c:ptCount val="1"/>
                <c:pt idx="0">
                  <c:v>theta_slope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工作表1!$C$2:$C$151</c:f>
              <c:numCache>
                <c:formatCode>0.0000</c:formatCode>
                <c:ptCount val="150"/>
                <c:pt idx="0">
                  <c:v>0.40648921668248561</c:v>
                </c:pt>
                <c:pt idx="1">
                  <c:v>0.42631411921029921</c:v>
                </c:pt>
                <c:pt idx="2">
                  <c:v>0.44613918830092181</c:v>
                </c:pt>
                <c:pt idx="3">
                  <c:v>0.46596440269459849</c:v>
                </c:pt>
                <c:pt idx="4">
                  <c:v>0.4857897446016497</c:v>
                </c:pt>
                <c:pt idx="5">
                  <c:v>0.5056151990225175</c:v>
                </c:pt>
                <c:pt idx="6">
                  <c:v>0.52544075322161321</c:v>
                </c:pt>
                <c:pt idx="7">
                  <c:v>0.54526639631499063</c:v>
                </c:pt>
                <c:pt idx="8">
                  <c:v>0.56509211894657219</c:v>
                </c:pt>
                <c:pt idx="9">
                  <c:v>0.58491791302848717</c:v>
                </c:pt>
                <c:pt idx="10">
                  <c:v>0.60474377153364056</c:v>
                </c:pt>
                <c:pt idx="11">
                  <c:v>0.62456968832675142</c:v>
                </c:pt>
                <c:pt idx="12">
                  <c:v>0.64439565802804322</c:v>
                </c:pt>
                <c:pt idx="13">
                  <c:v>0.66422167589982828</c:v>
                </c:pt>
                <c:pt idx="14">
                  <c:v>0.68404773775343264</c:v>
                </c:pt>
                <c:pt idx="15">
                  <c:v>0.70387383987266172</c:v>
                </c:pt>
                <c:pt idx="16">
                  <c:v>0.72369997894806182</c:v>
                </c:pt>
                <c:pt idx="17">
                  <c:v>0.74352615202358097</c:v>
                </c:pt>
                <c:pt idx="18">
                  <c:v>0.76335235644936839</c:v>
                </c:pt>
                <c:pt idx="19">
                  <c:v>0.78317858984533706</c:v>
                </c:pt>
                <c:pt idx="20">
                  <c:v>0.80300485006526268</c:v>
                </c:pt>
                <c:pt idx="21">
                  <c:v>0.82283113517008977</c:v>
                </c:pt>
                <c:pt idx="22">
                  <c:v>0.84265744340328996</c:v>
                </c:pt>
                <c:pt idx="23">
                  <c:v>0.86248377317002067</c:v>
                </c:pt>
                <c:pt idx="24">
                  <c:v>0.88231012301861034</c:v>
                </c:pt>
                <c:pt idx="25">
                  <c:v>0.90213649162515064</c:v>
                </c:pt>
                <c:pt idx="26">
                  <c:v>0.92196287777932762</c:v>
                </c:pt>
                <c:pt idx="27">
                  <c:v>0.94178928037299614</c:v>
                </c:pt>
                <c:pt idx="28">
                  <c:v>0.96161569838953942</c:v>
                </c:pt>
                <c:pt idx="29">
                  <c:v>0.98144213089320942</c:v>
                </c:pt>
                <c:pt idx="30">
                  <c:v>1.001268577025328</c:v>
                </c:pt>
                <c:pt idx="31">
                  <c:v>1.021095035990246</c:v>
                </c:pt>
                <c:pt idx="32">
                  <c:v>1.04092150705548</c:v>
                </c:pt>
                <c:pt idx="33">
                  <c:v>1.0607479895421721</c:v>
                </c:pt>
                <c:pt idx="34">
                  <c:v>1.0805744828219299</c:v>
                </c:pt>
                <c:pt idx="35">
                  <c:v>1.1004009863123061</c:v>
                </c:pt>
                <c:pt idx="36">
                  <c:v>1.1202274994693291</c:v>
                </c:pt>
                <c:pt idx="37">
                  <c:v>1.1400540217887249</c:v>
                </c:pt>
                <c:pt idx="38">
                  <c:v>1.159880552802917</c:v>
                </c:pt>
                <c:pt idx="39">
                  <c:v>1.17970709207159</c:v>
                </c:pt>
                <c:pt idx="40">
                  <c:v>1.199533639185943</c:v>
                </c:pt>
                <c:pt idx="41">
                  <c:v>1.2193601937627601</c:v>
                </c:pt>
                <c:pt idx="42">
                  <c:v>1.2391867554443901</c:v>
                </c:pt>
                <c:pt idx="43">
                  <c:v>1.2590133238948289</c:v>
                </c:pt>
                <c:pt idx="44">
                  <c:v>1.2788398987994309</c:v>
                </c:pt>
                <c:pt idx="45">
                  <c:v>1.298666479862979</c:v>
                </c:pt>
                <c:pt idx="46">
                  <c:v>1.318493066807114</c:v>
                </c:pt>
                <c:pt idx="47">
                  <c:v>1.3383196593717679</c:v>
                </c:pt>
                <c:pt idx="48">
                  <c:v>1.3581462573096661</c:v>
                </c:pt>
                <c:pt idx="49">
                  <c:v>1.377972860387304</c:v>
                </c:pt>
                <c:pt idx="50">
                  <c:v>1.39779946838717</c:v>
                </c:pt>
                <c:pt idx="51">
                  <c:v>1.4176260811050829</c:v>
                </c:pt>
                <c:pt idx="52">
                  <c:v>1.4374526983426921</c:v>
                </c:pt>
                <c:pt idx="53">
                  <c:v>1.457279319918356</c:v>
                </c:pt>
                <c:pt idx="54">
                  <c:v>1.4771059456535589</c:v>
                </c:pt>
                <c:pt idx="55">
                  <c:v>1.4969325753878999</c:v>
                </c:pt>
                <c:pt idx="56">
                  <c:v>1.516759208960389</c:v>
                </c:pt>
                <c:pt idx="57">
                  <c:v>1.5365858462243751</c:v>
                </c:pt>
                <c:pt idx="58">
                  <c:v>1.5564124870367171</c:v>
                </c:pt>
                <c:pt idx="59">
                  <c:v>1.576239131264447</c:v>
                </c:pt>
                <c:pt idx="60">
                  <c:v>1.5960657787836761</c:v>
                </c:pt>
                <c:pt idx="61">
                  <c:v>1.6158924294693839</c:v>
                </c:pt>
                <c:pt idx="62">
                  <c:v>1.6357190832069419</c:v>
                </c:pt>
                <c:pt idx="63">
                  <c:v>1.655545739890018</c:v>
                </c:pt>
                <c:pt idx="64">
                  <c:v>1.675372399409683</c:v>
                </c:pt>
                <c:pt idx="65">
                  <c:v>1.695199061667829</c:v>
                </c:pt>
                <c:pt idx="66">
                  <c:v>1.7150257265702249</c:v>
                </c:pt>
                <c:pt idx="67">
                  <c:v>1.734852394025814</c:v>
                </c:pt>
                <c:pt idx="68">
                  <c:v>1.7546790639483709</c:v>
                </c:pt>
                <c:pt idx="69">
                  <c:v>1.7745057362515451</c:v>
                </c:pt>
                <c:pt idx="70">
                  <c:v>1.794332410861694</c:v>
                </c:pt>
                <c:pt idx="71">
                  <c:v>1.814159087702885</c:v>
                </c:pt>
                <c:pt idx="72">
                  <c:v>1.833985766703047</c:v>
                </c:pt>
                <c:pt idx="73">
                  <c:v>1.853812447784966</c:v>
                </c:pt>
                <c:pt idx="74">
                  <c:v>1.8736391308893141</c:v>
                </c:pt>
                <c:pt idx="75">
                  <c:v>1.8934658159533571</c:v>
                </c:pt>
                <c:pt idx="76">
                  <c:v>1.9132925029199821</c:v>
                </c:pt>
                <c:pt idx="77">
                  <c:v>1.933119191717408</c:v>
                </c:pt>
                <c:pt idx="78">
                  <c:v>1.952945882301983</c:v>
                </c:pt>
                <c:pt idx="79">
                  <c:v>1.9727725746114231</c:v>
                </c:pt>
                <c:pt idx="80">
                  <c:v>1.992599268603743</c:v>
                </c:pt>
                <c:pt idx="81">
                  <c:v>2.0124259642231701</c:v>
                </c:pt>
                <c:pt idx="82">
                  <c:v>2.0322526614159262</c:v>
                </c:pt>
                <c:pt idx="83">
                  <c:v>2.0520793601508531</c:v>
                </c:pt>
                <c:pt idx="84">
                  <c:v>2.0719060603740012</c:v>
                </c:pt>
                <c:pt idx="85">
                  <c:v>2.091732762040186</c:v>
                </c:pt>
                <c:pt idx="86">
                  <c:v>2.1115594651223959</c:v>
                </c:pt>
                <c:pt idx="87">
                  <c:v>2.131386169564141</c:v>
                </c:pt>
                <c:pt idx="88">
                  <c:v>2.151212875339541</c:v>
                </c:pt>
                <c:pt idx="89">
                  <c:v>2.1710395824099571</c:v>
                </c:pt>
                <c:pt idx="90">
                  <c:v>2.190866290734081</c:v>
                </c:pt>
                <c:pt idx="91">
                  <c:v>2.2106930002845688</c:v>
                </c:pt>
                <c:pt idx="92">
                  <c:v>2.2305197110353361</c:v>
                </c:pt>
                <c:pt idx="93">
                  <c:v>2.2503464229356052</c:v>
                </c:pt>
                <c:pt idx="94">
                  <c:v>2.2701731359705319</c:v>
                </c:pt>
                <c:pt idx="95">
                  <c:v>2.2899998501125438</c:v>
                </c:pt>
                <c:pt idx="96">
                  <c:v>2.3098265653177061</c:v>
                </c:pt>
                <c:pt idx="97">
                  <c:v>2.3296532815693061</c:v>
                </c:pt>
                <c:pt idx="98">
                  <c:v>2.3494799988427451</c:v>
                </c:pt>
                <c:pt idx="99">
                  <c:v>2.3693067171013982</c:v>
                </c:pt>
                <c:pt idx="100">
                  <c:v>2.3891334363323962</c:v>
                </c:pt>
                <c:pt idx="101">
                  <c:v>2.40896015651485</c:v>
                </c:pt>
                <c:pt idx="102">
                  <c:v>2.4287868776092041</c:v>
                </c:pt>
                <c:pt idx="103">
                  <c:v>2.448613599612365</c:v>
                </c:pt>
                <c:pt idx="104">
                  <c:v>2.4684403224873699</c:v>
                </c:pt>
                <c:pt idx="105">
                  <c:v>2.4882670462177559</c:v>
                </c:pt>
                <c:pt idx="106">
                  <c:v>2.5080937707761839</c:v>
                </c:pt>
                <c:pt idx="107">
                  <c:v>2.5279204961597199</c:v>
                </c:pt>
                <c:pt idx="108">
                  <c:v>2.547747222347347</c:v>
                </c:pt>
                <c:pt idx="109">
                  <c:v>2.5675739493014751</c:v>
                </c:pt>
                <c:pt idx="110">
                  <c:v>2.5874006770205971</c:v>
                </c:pt>
                <c:pt idx="111">
                  <c:v>2.6072274054774951</c:v>
                </c:pt>
                <c:pt idx="112">
                  <c:v>2.6270541346676439</c:v>
                </c:pt>
                <c:pt idx="113">
                  <c:v>2.6468808645708379</c:v>
                </c:pt>
                <c:pt idx="114">
                  <c:v>2.6667075951668382</c:v>
                </c:pt>
                <c:pt idx="115">
                  <c:v>2.6865343264486832</c:v>
                </c:pt>
                <c:pt idx="116">
                  <c:v>2.7063610583717002</c:v>
                </c:pt>
                <c:pt idx="117">
                  <c:v>2.7261877909623511</c:v>
                </c:pt>
                <c:pt idx="118">
                  <c:v>2.7460145241899321</c:v>
                </c:pt>
                <c:pt idx="119">
                  <c:v>2.7658412580329679</c:v>
                </c:pt>
                <c:pt idx="120">
                  <c:v>2.785667992486486</c:v>
                </c:pt>
                <c:pt idx="121">
                  <c:v>2.805494727531443</c:v>
                </c:pt>
                <c:pt idx="122">
                  <c:v>2.825321463172747</c:v>
                </c:pt>
                <c:pt idx="123">
                  <c:v>2.8451481993821321</c:v>
                </c:pt>
                <c:pt idx="124">
                  <c:v>2.8649749361355799</c:v>
                </c:pt>
                <c:pt idx="125">
                  <c:v>2.884801673446304</c:v>
                </c:pt>
                <c:pt idx="126">
                  <c:v>2.90462841130033</c:v>
                </c:pt>
                <c:pt idx="127">
                  <c:v>2.924455149665079</c:v>
                </c:pt>
                <c:pt idx="128">
                  <c:v>2.944281888557593</c:v>
                </c:pt>
                <c:pt idx="129">
                  <c:v>2.964108627937823</c:v>
                </c:pt>
                <c:pt idx="130">
                  <c:v>2.983935367831597</c:v>
                </c:pt>
                <c:pt idx="131">
                  <c:v>3.0037621081937429</c:v>
                </c:pt>
                <c:pt idx="132">
                  <c:v>3.0235888490434002</c:v>
                </c:pt>
                <c:pt idx="133">
                  <c:v>3.0434155903476929</c:v>
                </c:pt>
                <c:pt idx="134">
                  <c:v>3.063242332117269</c:v>
                </c:pt>
                <c:pt idx="135">
                  <c:v>3.0830690743367151</c:v>
                </c:pt>
                <c:pt idx="136">
                  <c:v>3.1028958170021239</c:v>
                </c:pt>
                <c:pt idx="137">
                  <c:v>3.122722560094068</c:v>
                </c:pt>
                <c:pt idx="138">
                  <c:v>3.1425493036038681</c:v>
                </c:pt>
                <c:pt idx="139">
                  <c:v>3.1623760475104761</c:v>
                </c:pt>
                <c:pt idx="140">
                  <c:v>3.1822027918637321</c:v>
                </c:pt>
                <c:pt idx="141">
                  <c:v>3.2020295365991451</c:v>
                </c:pt>
                <c:pt idx="142">
                  <c:v>3.2218562817019119</c:v>
                </c:pt>
                <c:pt idx="143">
                  <c:v>3.241683027222412</c:v>
                </c:pt>
                <c:pt idx="144">
                  <c:v>3.2615097730978708</c:v>
                </c:pt>
                <c:pt idx="145">
                  <c:v>3.281336519360206</c:v>
                </c:pt>
                <c:pt idx="146">
                  <c:v>3.301163265996288</c:v>
                </c:pt>
                <c:pt idx="147">
                  <c:v>3.3209900129822669</c:v>
                </c:pt>
                <c:pt idx="148">
                  <c:v>3.3408167603045862</c:v>
                </c:pt>
                <c:pt idx="149">
                  <c:v>3.3606435079774459</c:v>
                </c:pt>
              </c:numCache>
            </c:numRef>
          </c:xVal>
          <c:yVal>
            <c:numRef>
              <c:f>工作表1!$F$2:$F$151</c:f>
              <c:numCache>
                <c:formatCode>General</c:formatCode>
                <c:ptCount val="150"/>
                <c:pt idx="0">
                  <c:v>-0.87605713719170064</c:v>
                </c:pt>
                <c:pt idx="1">
                  <c:v>-0.96610035613040057</c:v>
                </c:pt>
                <c:pt idx="2">
                  <c:v>-1.0645960376720098</c:v>
                </c:pt>
                <c:pt idx="3">
                  <c:v>-1.1729462739060543</c:v>
                </c:pt>
                <c:pt idx="4">
                  <c:v>-1.2932401225881658</c:v>
                </c:pt>
                <c:pt idx="5">
                  <c:v>-1.4288242222606193</c:v>
                </c:pt>
                <c:pt idx="6">
                  <c:v>-1.5855844268864938</c:v>
                </c:pt>
                <c:pt idx="7">
                  <c:v>-1.7753112260116006</c:v>
                </c:pt>
                <c:pt idx="8">
                  <c:v>-2.0270993937500172</c:v>
                </c:pt>
                <c:pt idx="9">
                  <c:v>-2.4522128394060476</c:v>
                </c:pt>
                <c:pt idx="10">
                  <c:v>-2.845557083433893</c:v>
                </c:pt>
                <c:pt idx="11">
                  <c:v>-2.3146491887344665</c:v>
                </c:pt>
                <c:pt idx="12">
                  <c:v>-2.1021124291461395</c:v>
                </c:pt>
                <c:pt idx="13">
                  <c:v>-1.9768656657227888</c:v>
                </c:pt>
                <c:pt idx="14">
                  <c:v>-1.8863881761869721</c:v>
                </c:pt>
                <c:pt idx="15">
                  <c:v>-1.8119175901244291</c:v>
                </c:pt>
                <c:pt idx="16">
                  <c:v>-1.7449565530693347</c:v>
                </c:pt>
                <c:pt idx="17">
                  <c:v>-1.6814537613536067</c:v>
                </c:pt>
                <c:pt idx="18">
                  <c:v>-1.6196289523762366</c:v>
                </c:pt>
                <c:pt idx="19">
                  <c:v>-1.5588737061652298</c:v>
                </c:pt>
                <c:pt idx="20">
                  <c:v>-1.4990730698234673</c:v>
                </c:pt>
                <c:pt idx="21">
                  <c:v>-1.4401502224786422</c:v>
                </c:pt>
                <c:pt idx="22">
                  <c:v>-1.3817731295061801</c:v>
                </c:pt>
                <c:pt idx="23">
                  <c:v>-1.3232291412586359</c:v>
                </c:pt>
                <c:pt idx="24">
                  <c:v>-1.2607619429845516</c:v>
                </c:pt>
                <c:pt idx="25">
                  <c:v>-1.1940858366600449</c:v>
                </c:pt>
                <c:pt idx="26">
                  <c:v>-1.1274563521481056</c:v>
                </c:pt>
                <c:pt idx="27">
                  <c:v>-1.0608598445090582</c:v>
                </c:pt>
                <c:pt idx="28">
                  <c:v>-0.99450850839565741</c:v>
                </c:pt>
                <c:pt idx="29">
                  <c:v>-0.92883321983564637</c:v>
                </c:pt>
                <c:pt idx="30">
                  <c:v>-0.86453323713176156</c:v>
                </c:pt>
                <c:pt idx="31">
                  <c:v>-0.79942170983020633</c:v>
                </c:pt>
                <c:pt idx="32">
                  <c:v>-0.73875325226929633</c:v>
                </c:pt>
                <c:pt idx="33">
                  <c:v>-0.68590669800786808</c:v>
                </c:pt>
                <c:pt idx="34">
                  <c:v>-0.64594980302931304</c:v>
                </c:pt>
                <c:pt idx="35">
                  <c:v>-0.62650293447031458</c:v>
                </c:pt>
                <c:pt idx="36">
                  <c:v>-0.63649668772191648</c:v>
                </c:pt>
                <c:pt idx="37">
                  <c:v>-0.68155365319172745</c:v>
                </c:pt>
                <c:pt idx="38">
                  <c:v>-0.76099922723055902</c:v>
                </c:pt>
                <c:pt idx="39">
                  <c:v>-0.87108813428521037</c:v>
                </c:pt>
                <c:pt idx="40">
                  <c:v>-1.0092795962714893</c:v>
                </c:pt>
                <c:pt idx="41">
                  <c:v>-1.1770243422695104</c:v>
                </c:pt>
                <c:pt idx="42">
                  <c:v>-1.384423489677117</c:v>
                </c:pt>
                <c:pt idx="43">
                  <c:v>-1.6667649350067917</c:v>
                </c:pt>
                <c:pt idx="44">
                  <c:v>-2.1982053858877313</c:v>
                </c:pt>
                <c:pt idx="45">
                  <c:v>-2.182764612740808</c:v>
                </c:pt>
                <c:pt idx="46">
                  <c:v>-1.7997569812498522</c:v>
                </c:pt>
                <c:pt idx="47">
                  <c:v>-1.6257630558380873</c:v>
                </c:pt>
                <c:pt idx="48">
                  <c:v>-1.5108901415983431</c:v>
                </c:pt>
                <c:pt idx="49">
                  <c:v>-1.4273628681669379</c:v>
                </c:pt>
                <c:pt idx="50">
                  <c:v>-1.3611148592641036</c:v>
                </c:pt>
                <c:pt idx="51">
                  <c:v>-1.3056794247400929</c:v>
                </c:pt>
                <c:pt idx="52">
                  <c:v>-1.2577654230491688</c:v>
                </c:pt>
                <c:pt idx="53">
                  <c:v>-1.215591771781358</c:v>
                </c:pt>
                <c:pt idx="54">
                  <c:v>-1.1781184502531015</c:v>
                </c:pt>
                <c:pt idx="55">
                  <c:v>-1.1446278931018705</c:v>
                </c:pt>
                <c:pt idx="56">
                  <c:v>-1.1144932632422886</c:v>
                </c:pt>
                <c:pt idx="57">
                  <c:v>-1.0873540650010258</c:v>
                </c:pt>
                <c:pt idx="58">
                  <c:v>-1.0666156614893012</c:v>
                </c:pt>
                <c:pt idx="59">
                  <c:v>-1.1159326956294529</c:v>
                </c:pt>
                <c:pt idx="60">
                  <c:v>-1.1848008159661421</c:v>
                </c:pt>
                <c:pt idx="61">
                  <c:v>-1.3461918450711148</c:v>
                </c:pt>
                <c:pt idx="62">
                  <c:v>-1.2894971078165749</c:v>
                </c:pt>
                <c:pt idx="63">
                  <c:v>-1.2613128384117072</c:v>
                </c:pt>
                <c:pt idx="64">
                  <c:v>-1.2637417649757707</c:v>
                </c:pt>
                <c:pt idx="65">
                  <c:v>-1.2836144343922631</c:v>
                </c:pt>
                <c:pt idx="66">
                  <c:v>-1.3175268681323371</c:v>
                </c:pt>
                <c:pt idx="67">
                  <c:v>-1.3664236840120154</c:v>
                </c:pt>
                <c:pt idx="68">
                  <c:v>-1.4353449171689219</c:v>
                </c:pt>
                <c:pt idx="69">
                  <c:v>-1.5368391443684997</c:v>
                </c:pt>
                <c:pt idx="70">
                  <c:v>-1.7048218796510282</c:v>
                </c:pt>
                <c:pt idx="71">
                  <c:v>-2.2964378011660793</c:v>
                </c:pt>
                <c:pt idx="72">
                  <c:v>-2.0204233132368214</c:v>
                </c:pt>
                <c:pt idx="73">
                  <c:v>-1.5886098694458124</c:v>
                </c:pt>
                <c:pt idx="74">
                  <c:v>-1.35014043882254</c:v>
                </c:pt>
                <c:pt idx="75">
                  <c:v>-1.188737106917745</c:v>
                </c:pt>
                <c:pt idx="76">
                  <c:v>-1.0768204712229181</c:v>
                </c:pt>
                <c:pt idx="77">
                  <c:v>-1.0040066731199389</c:v>
                </c:pt>
                <c:pt idx="78">
                  <c:v>-0.96452913249911565</c:v>
                </c:pt>
                <c:pt idx="79">
                  <c:v>-0.95290586217857343</c:v>
                </c:pt>
                <c:pt idx="80">
                  <c:v>-0.96276685395382655</c:v>
                </c:pt>
                <c:pt idx="81">
                  <c:v>-0.98735531135359067</c:v>
                </c:pt>
                <c:pt idx="82">
                  <c:v>-1.02062254830912</c:v>
                </c:pt>
                <c:pt idx="83">
                  <c:v>-1.0579340566643978</c:v>
                </c:pt>
                <c:pt idx="84">
                  <c:v>-1.0961425038813462</c:v>
                </c:pt>
                <c:pt idx="85">
                  <c:v>-1.1333030267381798</c:v>
                </c:pt>
                <c:pt idx="86">
                  <c:v>-1.1683175325568085</c:v>
                </c:pt>
                <c:pt idx="87">
                  <c:v>-1.2006408473524002</c:v>
                </c:pt>
                <c:pt idx="88">
                  <c:v>-1.23007535436947</c:v>
                </c:pt>
                <c:pt idx="89">
                  <c:v>-1.2566392657817569</c:v>
                </c:pt>
                <c:pt idx="90">
                  <c:v>-1.2804853866995098</c:v>
                </c:pt>
                <c:pt idx="91">
                  <c:v>-1.3018504429082594</c:v>
                </c:pt>
                <c:pt idx="92">
                  <c:v>-1.3210208584398448</c:v>
                </c:pt>
                <c:pt idx="93">
                  <c:v>-1.337358851881852</c:v>
                </c:pt>
                <c:pt idx="94">
                  <c:v>-1.3514214917097092</c:v>
                </c:pt>
                <c:pt idx="95">
                  <c:v>-1.3641812541826819</c:v>
                </c:pt>
                <c:pt idx="96">
                  <c:v>-1.3759475400750742</c:v>
                </c:pt>
                <c:pt idx="97">
                  <c:v>-1.3869954013368166</c:v>
                </c:pt>
                <c:pt idx="98">
                  <c:v>-1.3975678918666379</c:v>
                </c:pt>
                <c:pt idx="99">
                  <c:v>-1.4078859098294321</c:v>
                </c:pt>
                <c:pt idx="100">
                  <c:v>-1.4181636395909962</c:v>
                </c:pt>
                <c:pt idx="101">
                  <c:v>-1.4286281371273273</c:v>
                </c:pt>
                <c:pt idx="102">
                  <c:v>-1.4395425794492094</c:v>
                </c:pt>
                <c:pt idx="103">
                  <c:v>-1.45123364367106</c:v>
                </c:pt>
                <c:pt idx="104">
                  <c:v>-1.4641240667697384</c:v>
                </c:pt>
                <c:pt idx="105">
                  <c:v>-1.4787716332603547</c:v>
                </c:pt>
                <c:pt idx="106">
                  <c:v>-1.4959158896418649</c:v>
                </c:pt>
                <c:pt idx="107">
                  <c:v>-1.5165343820399573</c:v>
                </c:pt>
                <c:pt idx="108">
                  <c:v>-1.5419123423391123</c:v>
                </c:pt>
                <c:pt idx="109">
                  <c:v>-1.5737358553434211</c:v>
                </c:pt>
                <c:pt idx="110">
                  <c:v>-1.5965299898771403</c:v>
                </c:pt>
                <c:pt idx="111">
                  <c:v>-1.6468829985098548</c:v>
                </c:pt>
                <c:pt idx="112">
                  <c:v>-1.7152321388813054</c:v>
                </c:pt>
                <c:pt idx="113">
                  <c:v>-1.8104241654727469</c:v>
                </c:pt>
                <c:pt idx="114">
                  <c:v>-1.949717322588713</c:v>
                </c:pt>
                <c:pt idx="115">
                  <c:v>-2.1781820282337763</c:v>
                </c:pt>
                <c:pt idx="116">
                  <c:v>-2.6800375296866079</c:v>
                </c:pt>
                <c:pt idx="117">
                  <c:v>-2.4666084258798797</c:v>
                </c:pt>
                <c:pt idx="118">
                  <c:v>-2.1000485311868728</c:v>
                </c:pt>
                <c:pt idx="119">
                  <c:v>-1.9131049401235336</c:v>
                </c:pt>
                <c:pt idx="120">
                  <c:v>-1.790888942270042</c:v>
                </c:pt>
                <c:pt idx="121">
                  <c:v>-1.7029779138805543</c:v>
                </c:pt>
                <c:pt idx="122">
                  <c:v>-1.6386151975261158</c:v>
                </c:pt>
                <c:pt idx="123">
                  <c:v>-1.5905358779518863</c:v>
                </c:pt>
                <c:pt idx="124">
                  <c:v>-1.5545541388952029</c:v>
                </c:pt>
                <c:pt idx="125">
                  <c:v>-1.528178320504854</c:v>
                </c:pt>
                <c:pt idx="126">
                  <c:v>-1.5100986696869321</c:v>
                </c:pt>
                <c:pt idx="127">
                  <c:v>-1.5002200635883374</c:v>
                </c:pt>
                <c:pt idx="128">
                  <c:v>-1.5005961990079972</c:v>
                </c:pt>
                <c:pt idx="129">
                  <c:v>-1.519527136878728</c:v>
                </c:pt>
                <c:pt idx="130">
                  <c:v>-1.5921602262977657</c:v>
                </c:pt>
                <c:pt idx="131">
                  <c:v>-1.9228407422341711</c:v>
                </c:pt>
                <c:pt idx="132">
                  <c:v>-1.827050176562057</c:v>
                </c:pt>
                <c:pt idx="133">
                  <c:v>-1.6118571521356835</c:v>
                </c:pt>
                <c:pt idx="134">
                  <c:v>-1.5504982914034928</c:v>
                </c:pt>
                <c:pt idx="135">
                  <c:v>-1.5421283178579239</c:v>
                </c:pt>
                <c:pt idx="136">
                  <c:v>-1.5527257639709684</c:v>
                </c:pt>
                <c:pt idx="137">
                  <c:v>-1.5738517827236533</c:v>
                </c:pt>
                <c:pt idx="138">
                  <c:v>-1.6033803535932767</c:v>
                </c:pt>
                <c:pt idx="139">
                  <c:v>-1.6414126883756233</c:v>
                </c:pt>
                <c:pt idx="140">
                  <c:v>-1.6894180559927294</c:v>
                </c:pt>
                <c:pt idx="141">
                  <c:v>-1.7504428107794232</c:v>
                </c:pt>
                <c:pt idx="142">
                  <c:v>-1.8302853795353189</c:v>
                </c:pt>
                <c:pt idx="143">
                  <c:v>-1.9409129401732033</c:v>
                </c:pt>
                <c:pt idx="144">
                  <c:v>-2.1123480947504669</c:v>
                </c:pt>
                <c:pt idx="145">
                  <c:v>-2.4629064859318399</c:v>
                </c:pt>
                <c:pt idx="146">
                  <c:v>-2.7845906768186568</c:v>
                </c:pt>
                <c:pt idx="147">
                  <c:v>-2.1079056071932754</c:v>
                </c:pt>
                <c:pt idx="148">
                  <c:v>-1.8022610756472679</c:v>
                </c:pt>
                <c:pt idx="149">
                  <c:v>-1.5722826388807292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16-4F30-B03F-50A8E8077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93520"/>
        <c:axId val="404968064"/>
      </c:scatterChart>
      <c:scatterChart>
        <c:scatterStyle val="lineMarker"/>
        <c:varyColors val="0"/>
        <c:ser>
          <c:idx val="1"/>
          <c:order val="1"/>
          <c:tx>
            <c:v>Magic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plus"/>
            <c:errValType val="fixedVal"/>
            <c:noEndCap val="0"/>
            <c:val val="5"/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(工作表1!$C$12,工作表1!$C$46,工作表1!$C$73,工作表1!$C$118,工作表1!$C$148)</c:f>
              <c:numCache>
                <c:formatCode>0.0000</c:formatCode>
                <c:ptCount val="5"/>
                <c:pt idx="0">
                  <c:v>0.60474377153364056</c:v>
                </c:pt>
                <c:pt idx="1">
                  <c:v>1.2788398987994309</c:v>
                </c:pt>
                <c:pt idx="2">
                  <c:v>1.814159087702885</c:v>
                </c:pt>
                <c:pt idx="3">
                  <c:v>2.7063610583717002</c:v>
                </c:pt>
                <c:pt idx="4">
                  <c:v>3.301163265996288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-5</c:v>
              </c:pt>
              <c:pt idx="1">
                <c:v>-5</c:v>
              </c:pt>
              <c:pt idx="2">
                <c:v>-5</c:v>
              </c:pt>
              <c:pt idx="3">
                <c:v>-5</c:v>
              </c:pt>
              <c:pt idx="4">
                <c:v>-5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116-4F30-B03F-50A8E8077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93520"/>
        <c:axId val="404968064"/>
      </c:scatterChart>
      <c:valAx>
        <c:axId val="511693520"/>
        <c:scaling>
          <c:orientation val="minMax"/>
          <c:max val="3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 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TW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a math"/>
                <a:ea typeface="+mn-ea"/>
                <a:cs typeface="+mn-cs"/>
              </a:defRPr>
            </a:pPr>
            <a:endParaRPr lang="zh-TW"/>
          </a:p>
        </c:txPr>
        <c:crossAx val="404968064"/>
        <c:crossesAt val="-3"/>
        <c:crossBetween val="midCat"/>
        <c:majorUnit val="0.5"/>
      </c:valAx>
      <c:valAx>
        <c:axId val="404968064"/>
        <c:scaling>
          <c:orientation val="minMax"/>
          <c:max val="0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a math"/>
                <a:ea typeface="+mn-ea"/>
                <a:cs typeface="+mn-cs"/>
              </a:defRPr>
            </a:pPr>
            <a:endParaRPr lang="zh-TW"/>
          </a:p>
        </c:txPr>
        <c:crossAx val="51169352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80899037326611"/>
          <c:y val="3.6281179138321996E-2"/>
          <c:w val="0.79875120443462333"/>
          <c:h val="0.829468459299730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工作表1!$E$1</c:f>
              <c:strCache>
                <c:ptCount val="1"/>
                <c:pt idx="0">
                  <c:v>theta_slope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工作表1!$C$2:$C$151</c:f>
              <c:numCache>
                <c:formatCode>0.0000</c:formatCode>
                <c:ptCount val="150"/>
                <c:pt idx="0">
                  <c:v>0.40648921668248561</c:v>
                </c:pt>
                <c:pt idx="1">
                  <c:v>0.42631411921029921</c:v>
                </c:pt>
                <c:pt idx="2">
                  <c:v>0.44613918830092181</c:v>
                </c:pt>
                <c:pt idx="3">
                  <c:v>0.46596440269459849</c:v>
                </c:pt>
                <c:pt idx="4">
                  <c:v>0.4857897446016497</c:v>
                </c:pt>
                <c:pt idx="5">
                  <c:v>0.5056151990225175</c:v>
                </c:pt>
                <c:pt idx="6">
                  <c:v>0.52544075322161321</c:v>
                </c:pt>
                <c:pt idx="7">
                  <c:v>0.54526639631499063</c:v>
                </c:pt>
                <c:pt idx="8">
                  <c:v>0.56509211894657219</c:v>
                </c:pt>
                <c:pt idx="9">
                  <c:v>0.58491791302848717</c:v>
                </c:pt>
                <c:pt idx="10">
                  <c:v>0.60474377153364056</c:v>
                </c:pt>
                <c:pt idx="11">
                  <c:v>0.62456968832675142</c:v>
                </c:pt>
                <c:pt idx="12">
                  <c:v>0.64439565802804322</c:v>
                </c:pt>
                <c:pt idx="13">
                  <c:v>0.66422167589982828</c:v>
                </c:pt>
                <c:pt idx="14">
                  <c:v>0.68404773775343264</c:v>
                </c:pt>
                <c:pt idx="15">
                  <c:v>0.70387383987266172</c:v>
                </c:pt>
                <c:pt idx="16">
                  <c:v>0.72369997894806182</c:v>
                </c:pt>
                <c:pt idx="17">
                  <c:v>0.74352615202358097</c:v>
                </c:pt>
                <c:pt idx="18">
                  <c:v>0.76335235644936839</c:v>
                </c:pt>
                <c:pt idx="19">
                  <c:v>0.78317858984533706</c:v>
                </c:pt>
                <c:pt idx="20">
                  <c:v>0.80300485006526268</c:v>
                </c:pt>
                <c:pt idx="21">
                  <c:v>0.82283113517008977</c:v>
                </c:pt>
                <c:pt idx="22">
                  <c:v>0.84265744340328996</c:v>
                </c:pt>
                <c:pt idx="23">
                  <c:v>0.86248377317002067</c:v>
                </c:pt>
                <c:pt idx="24">
                  <c:v>0.88231012301861034</c:v>
                </c:pt>
                <c:pt idx="25">
                  <c:v>0.90213649162515064</c:v>
                </c:pt>
                <c:pt idx="26">
                  <c:v>0.92196287777932762</c:v>
                </c:pt>
                <c:pt idx="27">
                  <c:v>0.94178928037299614</c:v>
                </c:pt>
                <c:pt idx="28">
                  <c:v>0.96161569838953942</c:v>
                </c:pt>
                <c:pt idx="29">
                  <c:v>0.98144213089320942</c:v>
                </c:pt>
                <c:pt idx="30">
                  <c:v>1.001268577025328</c:v>
                </c:pt>
                <c:pt idx="31">
                  <c:v>1.021095035990246</c:v>
                </c:pt>
                <c:pt idx="32">
                  <c:v>1.04092150705548</c:v>
                </c:pt>
                <c:pt idx="33">
                  <c:v>1.0607479895421721</c:v>
                </c:pt>
                <c:pt idx="34">
                  <c:v>1.0805744828219299</c:v>
                </c:pt>
                <c:pt idx="35">
                  <c:v>1.1004009863123061</c:v>
                </c:pt>
                <c:pt idx="36">
                  <c:v>1.1202274994693291</c:v>
                </c:pt>
                <c:pt idx="37">
                  <c:v>1.1400540217887249</c:v>
                </c:pt>
                <c:pt idx="38">
                  <c:v>1.159880552802917</c:v>
                </c:pt>
                <c:pt idx="39">
                  <c:v>1.17970709207159</c:v>
                </c:pt>
                <c:pt idx="40">
                  <c:v>1.199533639185943</c:v>
                </c:pt>
                <c:pt idx="41">
                  <c:v>1.2193601937627601</c:v>
                </c:pt>
                <c:pt idx="42">
                  <c:v>1.2391867554443901</c:v>
                </c:pt>
                <c:pt idx="43">
                  <c:v>1.2590133238948289</c:v>
                </c:pt>
                <c:pt idx="44">
                  <c:v>1.2788398987994309</c:v>
                </c:pt>
                <c:pt idx="45">
                  <c:v>1.298666479862979</c:v>
                </c:pt>
                <c:pt idx="46">
                  <c:v>1.318493066807114</c:v>
                </c:pt>
                <c:pt idx="47">
                  <c:v>1.3383196593717679</c:v>
                </c:pt>
                <c:pt idx="48">
                  <c:v>1.3581462573096661</c:v>
                </c:pt>
                <c:pt idx="49">
                  <c:v>1.377972860387304</c:v>
                </c:pt>
                <c:pt idx="50">
                  <c:v>1.39779946838717</c:v>
                </c:pt>
                <c:pt idx="51">
                  <c:v>1.4176260811050829</c:v>
                </c:pt>
                <c:pt idx="52">
                  <c:v>1.4374526983426921</c:v>
                </c:pt>
                <c:pt idx="53">
                  <c:v>1.457279319918356</c:v>
                </c:pt>
                <c:pt idx="54">
                  <c:v>1.4771059456535589</c:v>
                </c:pt>
                <c:pt idx="55">
                  <c:v>1.4969325753878999</c:v>
                </c:pt>
                <c:pt idx="56">
                  <c:v>1.516759208960389</c:v>
                </c:pt>
                <c:pt idx="57">
                  <c:v>1.5365858462243751</c:v>
                </c:pt>
                <c:pt idx="58">
                  <c:v>1.5564124870367171</c:v>
                </c:pt>
                <c:pt idx="59">
                  <c:v>1.576239131264447</c:v>
                </c:pt>
                <c:pt idx="60">
                  <c:v>1.5960657787836761</c:v>
                </c:pt>
                <c:pt idx="61">
                  <c:v>1.6158924294693839</c:v>
                </c:pt>
                <c:pt idx="62">
                  <c:v>1.6357190832069419</c:v>
                </c:pt>
                <c:pt idx="63">
                  <c:v>1.655545739890018</c:v>
                </c:pt>
                <c:pt idx="64">
                  <c:v>1.675372399409683</c:v>
                </c:pt>
                <c:pt idx="65">
                  <c:v>1.695199061667829</c:v>
                </c:pt>
                <c:pt idx="66">
                  <c:v>1.7150257265702249</c:v>
                </c:pt>
                <c:pt idx="67">
                  <c:v>1.734852394025814</c:v>
                </c:pt>
                <c:pt idx="68">
                  <c:v>1.7546790639483709</c:v>
                </c:pt>
                <c:pt idx="69">
                  <c:v>1.7745057362515451</c:v>
                </c:pt>
                <c:pt idx="70">
                  <c:v>1.794332410861694</c:v>
                </c:pt>
                <c:pt idx="71">
                  <c:v>1.814159087702885</c:v>
                </c:pt>
                <c:pt idx="72">
                  <c:v>1.833985766703047</c:v>
                </c:pt>
                <c:pt idx="73">
                  <c:v>1.853812447784966</c:v>
                </c:pt>
                <c:pt idx="74">
                  <c:v>1.8736391308893141</c:v>
                </c:pt>
                <c:pt idx="75">
                  <c:v>1.8934658159533571</c:v>
                </c:pt>
                <c:pt idx="76">
                  <c:v>1.9132925029199821</c:v>
                </c:pt>
                <c:pt idx="77">
                  <c:v>1.933119191717408</c:v>
                </c:pt>
                <c:pt idx="78">
                  <c:v>1.952945882301983</c:v>
                </c:pt>
                <c:pt idx="79">
                  <c:v>1.9727725746114231</c:v>
                </c:pt>
                <c:pt idx="80">
                  <c:v>1.992599268603743</c:v>
                </c:pt>
                <c:pt idx="81">
                  <c:v>2.0124259642231701</c:v>
                </c:pt>
                <c:pt idx="82">
                  <c:v>2.0322526614159262</c:v>
                </c:pt>
                <c:pt idx="83">
                  <c:v>2.0520793601508531</c:v>
                </c:pt>
                <c:pt idx="84">
                  <c:v>2.0719060603740012</c:v>
                </c:pt>
                <c:pt idx="85">
                  <c:v>2.091732762040186</c:v>
                </c:pt>
                <c:pt idx="86">
                  <c:v>2.1115594651223959</c:v>
                </c:pt>
                <c:pt idx="87">
                  <c:v>2.131386169564141</c:v>
                </c:pt>
                <c:pt idx="88">
                  <c:v>2.151212875339541</c:v>
                </c:pt>
                <c:pt idx="89">
                  <c:v>2.1710395824099571</c:v>
                </c:pt>
                <c:pt idx="90">
                  <c:v>2.190866290734081</c:v>
                </c:pt>
                <c:pt idx="91">
                  <c:v>2.2106930002845688</c:v>
                </c:pt>
                <c:pt idx="92">
                  <c:v>2.2305197110353361</c:v>
                </c:pt>
                <c:pt idx="93">
                  <c:v>2.2503464229356052</c:v>
                </c:pt>
                <c:pt idx="94">
                  <c:v>2.2701731359705319</c:v>
                </c:pt>
                <c:pt idx="95">
                  <c:v>2.2899998501125438</c:v>
                </c:pt>
                <c:pt idx="96">
                  <c:v>2.3098265653177061</c:v>
                </c:pt>
                <c:pt idx="97">
                  <c:v>2.3296532815693061</c:v>
                </c:pt>
                <c:pt idx="98">
                  <c:v>2.3494799988427451</c:v>
                </c:pt>
                <c:pt idx="99">
                  <c:v>2.3693067171013982</c:v>
                </c:pt>
                <c:pt idx="100">
                  <c:v>2.3891334363323962</c:v>
                </c:pt>
                <c:pt idx="101">
                  <c:v>2.40896015651485</c:v>
                </c:pt>
                <c:pt idx="102">
                  <c:v>2.4287868776092041</c:v>
                </c:pt>
                <c:pt idx="103">
                  <c:v>2.448613599612365</c:v>
                </c:pt>
                <c:pt idx="104">
                  <c:v>2.4684403224873699</c:v>
                </c:pt>
                <c:pt idx="105">
                  <c:v>2.4882670462177559</c:v>
                </c:pt>
                <c:pt idx="106">
                  <c:v>2.5080937707761839</c:v>
                </c:pt>
                <c:pt idx="107">
                  <c:v>2.5279204961597199</c:v>
                </c:pt>
                <c:pt idx="108">
                  <c:v>2.547747222347347</c:v>
                </c:pt>
                <c:pt idx="109">
                  <c:v>2.5675739493014751</c:v>
                </c:pt>
                <c:pt idx="110">
                  <c:v>2.5874006770205971</c:v>
                </c:pt>
                <c:pt idx="111">
                  <c:v>2.6072274054774951</c:v>
                </c:pt>
                <c:pt idx="112">
                  <c:v>2.6270541346676439</c:v>
                </c:pt>
                <c:pt idx="113">
                  <c:v>2.6468808645708379</c:v>
                </c:pt>
                <c:pt idx="114">
                  <c:v>2.6667075951668382</c:v>
                </c:pt>
                <c:pt idx="115">
                  <c:v>2.6865343264486832</c:v>
                </c:pt>
                <c:pt idx="116">
                  <c:v>2.7063610583717002</c:v>
                </c:pt>
                <c:pt idx="117">
                  <c:v>2.7261877909623511</c:v>
                </c:pt>
                <c:pt idx="118">
                  <c:v>2.7460145241899321</c:v>
                </c:pt>
                <c:pt idx="119">
                  <c:v>2.7658412580329679</c:v>
                </c:pt>
                <c:pt idx="120">
                  <c:v>2.785667992486486</c:v>
                </c:pt>
                <c:pt idx="121">
                  <c:v>2.805494727531443</c:v>
                </c:pt>
                <c:pt idx="122">
                  <c:v>2.825321463172747</c:v>
                </c:pt>
                <c:pt idx="123">
                  <c:v>2.8451481993821321</c:v>
                </c:pt>
                <c:pt idx="124">
                  <c:v>2.8649749361355799</c:v>
                </c:pt>
                <c:pt idx="125">
                  <c:v>2.884801673446304</c:v>
                </c:pt>
                <c:pt idx="126">
                  <c:v>2.90462841130033</c:v>
                </c:pt>
                <c:pt idx="127">
                  <c:v>2.924455149665079</c:v>
                </c:pt>
                <c:pt idx="128">
                  <c:v>2.944281888557593</c:v>
                </c:pt>
                <c:pt idx="129">
                  <c:v>2.964108627937823</c:v>
                </c:pt>
                <c:pt idx="130">
                  <c:v>2.983935367831597</c:v>
                </c:pt>
                <c:pt idx="131">
                  <c:v>3.0037621081937429</c:v>
                </c:pt>
                <c:pt idx="132">
                  <c:v>3.0235888490434002</c:v>
                </c:pt>
                <c:pt idx="133">
                  <c:v>3.0434155903476929</c:v>
                </c:pt>
                <c:pt idx="134">
                  <c:v>3.063242332117269</c:v>
                </c:pt>
                <c:pt idx="135">
                  <c:v>3.0830690743367151</c:v>
                </c:pt>
                <c:pt idx="136">
                  <c:v>3.1028958170021239</c:v>
                </c:pt>
                <c:pt idx="137">
                  <c:v>3.122722560094068</c:v>
                </c:pt>
                <c:pt idx="138">
                  <c:v>3.1425493036038681</c:v>
                </c:pt>
                <c:pt idx="139">
                  <c:v>3.1623760475104761</c:v>
                </c:pt>
                <c:pt idx="140">
                  <c:v>3.1822027918637321</c:v>
                </c:pt>
                <c:pt idx="141">
                  <c:v>3.2020295365991451</c:v>
                </c:pt>
                <c:pt idx="142">
                  <c:v>3.2218562817019119</c:v>
                </c:pt>
                <c:pt idx="143">
                  <c:v>3.241683027222412</c:v>
                </c:pt>
                <c:pt idx="144">
                  <c:v>3.2615097730978708</c:v>
                </c:pt>
                <c:pt idx="145">
                  <c:v>3.281336519360206</c:v>
                </c:pt>
                <c:pt idx="146">
                  <c:v>3.301163265996288</c:v>
                </c:pt>
                <c:pt idx="147">
                  <c:v>3.3209900129822669</c:v>
                </c:pt>
                <c:pt idx="148">
                  <c:v>3.3408167603045862</c:v>
                </c:pt>
                <c:pt idx="149">
                  <c:v>3.3606435079774459</c:v>
                </c:pt>
              </c:numCache>
            </c:numRef>
          </c:xVal>
          <c:yVal>
            <c:numRef>
              <c:f>工作表1!$E$2:$E$151</c:f>
              <c:numCache>
                <c:formatCode>General</c:formatCode>
                <c:ptCount val="150"/>
                <c:pt idx="0">
                  <c:v>0.13302793905902241</c:v>
                </c:pt>
                <c:pt idx="1">
                  <c:v>0.10811840840009369</c:v>
                </c:pt>
                <c:pt idx="2">
                  <c:v>8.6179498467499546E-2</c:v>
                </c:pt>
                <c:pt idx="3">
                  <c:v>6.7151191979075611E-2</c:v>
                </c:pt>
                <c:pt idx="4">
                  <c:v>5.0904933848469898E-2</c:v>
                </c:pt>
                <c:pt idx="5">
                  <c:v>3.7254245977246983E-2</c:v>
                </c:pt>
                <c:pt idx="6">
                  <c:v>2.5966629008307041E-2</c:v>
                </c:pt>
                <c:pt idx="7">
                  <c:v>1.677601377214917E-2</c:v>
                </c:pt>
                <c:pt idx="8">
                  <c:v>9.3950826768396476E-3</c:v>
                </c:pt>
                <c:pt idx="9">
                  <c:v>3.530101238928753E-3</c:v>
                </c:pt>
                <c:pt idx="10">
                  <c:v>1.4270622455405911E-3</c:v>
                </c:pt>
                <c:pt idx="11">
                  <c:v>4.8456362685155279E-3</c:v>
                </c:pt>
                <c:pt idx="12">
                  <c:v>7.9047396544663553E-3</c:v>
                </c:pt>
                <c:pt idx="13">
                  <c:v>1.054713085683554E-2</c:v>
                </c:pt>
                <c:pt idx="14">
                  <c:v>1.299007994345054E-2</c:v>
                </c:pt>
                <c:pt idx="15">
                  <c:v>1.541993027234782E-2</c:v>
                </c:pt>
                <c:pt idx="16">
                  <c:v>1.7990508836355421E-2</c:v>
                </c:pt>
                <c:pt idx="17">
                  <c:v>2.0823140941056559E-2</c:v>
                </c:pt>
                <c:pt idx="18">
                  <c:v>2.400883282605986E-2</c:v>
                </c:pt>
                <c:pt idx="19">
                  <c:v>2.7613807553505929E-2</c:v>
                </c:pt>
                <c:pt idx="20">
                  <c:v>3.1690342298055237E-2</c:v>
                </c:pt>
                <c:pt idx="21">
                  <c:v>3.6295248777451633E-2</c:v>
                </c:pt>
                <c:pt idx="22">
                  <c:v>4.1517086653109582E-2</c:v>
                </c:pt>
                <c:pt idx="23">
                  <c:v>4.7508449703007799E-2</c:v>
                </c:pt>
                <c:pt idx="24">
                  <c:v>5.485775834233933E-2</c:v>
                </c:pt>
                <c:pt idx="25">
                  <c:v>6.3960840680903172E-2</c:v>
                </c:pt>
                <c:pt idx="26">
                  <c:v>7.4566480973266125E-2</c:v>
                </c:pt>
                <c:pt idx="27">
                  <c:v>8.6924090540268825E-2</c:v>
                </c:pt>
                <c:pt idx="28">
                  <c:v>0.1012724908017618</c:v>
                </c:pt>
                <c:pt idx="29">
                  <c:v>0.1178058291112626</c:v>
                </c:pt>
                <c:pt idx="30">
                  <c:v>0.1366050526034216</c:v>
                </c:pt>
                <c:pt idx="31">
                  <c:v>0.15870049822021809</c:v>
                </c:pt>
                <c:pt idx="32">
                  <c:v>0.1824932257044598</c:v>
                </c:pt>
                <c:pt idx="33">
                  <c:v>0.20610726578539251</c:v>
                </c:pt>
                <c:pt idx="34">
                  <c:v>0.22596969372185399</c:v>
                </c:pt>
                <c:pt idx="35">
                  <c:v>0.23631814313960189</c:v>
                </c:pt>
                <c:pt idx="36">
                  <c:v>0.2309422072357305</c:v>
                </c:pt>
                <c:pt idx="37">
                  <c:v>0.2081835197248314</c:v>
                </c:pt>
                <c:pt idx="38">
                  <c:v>0.17338070828311861</c:v>
                </c:pt>
                <c:pt idx="39">
                  <c:v>0.13455872573203459</c:v>
                </c:pt>
                <c:pt idx="40">
                  <c:v>9.7885959837201983E-2</c:v>
                </c:pt>
                <c:pt idx="41">
                  <c:v>6.6523586858860284E-2</c:v>
                </c:pt>
                <c:pt idx="42">
                  <c:v>4.1264492700128323E-2</c:v>
                </c:pt>
                <c:pt idx="43">
                  <c:v>2.153947258624677E-2</c:v>
                </c:pt>
                <c:pt idx="44">
                  <c:v>6.3357001342631289E-3</c:v>
                </c:pt>
                <c:pt idx="45">
                  <c:v>6.5650099290150803E-3</c:v>
                </c:pt>
                <c:pt idx="46">
                  <c:v>1.5857803014639009E-2</c:v>
                </c:pt>
                <c:pt idx="47">
                  <c:v>2.3672108578292179E-2</c:v>
                </c:pt>
                <c:pt idx="48">
                  <c:v>3.083967966939008E-2</c:v>
                </c:pt>
                <c:pt idx="49">
                  <c:v>3.7379813639495517E-2</c:v>
                </c:pt>
                <c:pt idx="50">
                  <c:v>4.3539670768376247E-2</c:v>
                </c:pt>
                <c:pt idx="51">
                  <c:v>4.9467569801763693E-2</c:v>
                </c:pt>
                <c:pt idx="52">
                  <c:v>5.5237571528682153E-2</c:v>
                </c:pt>
                <c:pt idx="53">
                  <c:v>6.0870690489233548E-2</c:v>
                </c:pt>
                <c:pt idx="54">
                  <c:v>6.6356206461578637E-2</c:v>
                </c:pt>
                <c:pt idx="55">
                  <c:v>7.1675727041282861E-2</c:v>
                </c:pt>
                <c:pt idx="56">
                  <c:v>7.6825737276284611E-2</c:v>
                </c:pt>
                <c:pt idx="57">
                  <c:v>8.1779779453360069E-2</c:v>
                </c:pt>
                <c:pt idx="58">
                  <c:v>8.5779663553842367E-2</c:v>
                </c:pt>
                <c:pt idx="59">
                  <c:v>7.6571526370480494E-2</c:v>
                </c:pt>
                <c:pt idx="60">
                  <c:v>6.5343017196327152E-2</c:v>
                </c:pt>
                <c:pt idx="61">
                  <c:v>4.5061760492864027E-2</c:v>
                </c:pt>
                <c:pt idx="62">
                  <c:v>5.1345559684832773E-2</c:v>
                </c:pt>
                <c:pt idx="63">
                  <c:v>5.4788216291439082E-2</c:v>
                </c:pt>
                <c:pt idx="64">
                  <c:v>5.4482651481561832E-2</c:v>
                </c:pt>
                <c:pt idx="65">
                  <c:v>5.2045785272911621E-2</c:v>
                </c:pt>
                <c:pt idx="66">
                  <c:v>4.8136347296881883E-2</c:v>
                </c:pt>
                <c:pt idx="67">
                  <c:v>4.3010680710309349E-2</c:v>
                </c:pt>
                <c:pt idx="68">
                  <c:v>3.6699072028145291E-2</c:v>
                </c:pt>
                <c:pt idx="69">
                  <c:v>2.9050984565676681E-2</c:v>
                </c:pt>
                <c:pt idx="70">
                  <c:v>1.973231866087833E-2</c:v>
                </c:pt>
                <c:pt idx="71">
                  <c:v>5.0531501001760881E-3</c:v>
                </c:pt>
                <c:pt idx="72">
                  <c:v>9.5406219416986435E-3</c:v>
                </c:pt>
                <c:pt idx="73">
                  <c:v>2.578636528769113E-2</c:v>
                </c:pt>
                <c:pt idx="74">
                  <c:v>4.4653917038512167E-2</c:v>
                </c:pt>
                <c:pt idx="75">
                  <c:v>6.4753447156738683E-2</c:v>
                </c:pt>
                <c:pt idx="76">
                  <c:v>8.3787557179068328E-2</c:v>
                </c:pt>
                <c:pt idx="77">
                  <c:v>9.9081672045431474E-2</c:v>
                </c:pt>
                <c:pt idx="78">
                  <c:v>0.1085102758435216</c:v>
                </c:pt>
                <c:pt idx="79">
                  <c:v>0.1114536094637969</c:v>
                </c:pt>
                <c:pt idx="80">
                  <c:v>0.1089514829992136</c:v>
                </c:pt>
                <c:pt idx="81">
                  <c:v>0.1029543470625677</c:v>
                </c:pt>
                <c:pt idx="82">
                  <c:v>9.5362461307208879E-2</c:v>
                </c:pt>
                <c:pt idx="83">
                  <c:v>8.7511664297478517E-2</c:v>
                </c:pt>
                <c:pt idx="84">
                  <c:v>8.0141505407157351E-2</c:v>
                </c:pt>
                <c:pt idx="85">
                  <c:v>7.3569359195260045E-2</c:v>
                </c:pt>
                <c:pt idx="86">
                  <c:v>6.7870721727823366E-2</c:v>
                </c:pt>
                <c:pt idx="87">
                  <c:v>6.3002698690344749E-2</c:v>
                </c:pt>
                <c:pt idx="88">
                  <c:v>5.8874149404580342E-2</c:v>
                </c:pt>
                <c:pt idx="89">
                  <c:v>5.538099245057234E-2</c:v>
                </c:pt>
                <c:pt idx="90">
                  <c:v>5.2422123990082559E-2</c:v>
                </c:pt>
                <c:pt idx="91">
                  <c:v>4.9905631686283453E-2</c:v>
                </c:pt>
                <c:pt idx="92">
                  <c:v>4.7750633927364013E-2</c:v>
                </c:pt>
                <c:pt idx="93">
                  <c:v>4.5987642663768633E-2</c:v>
                </c:pt>
                <c:pt idx="94">
                  <c:v>4.4522393967635868E-2</c:v>
                </c:pt>
                <c:pt idx="95">
                  <c:v>4.3233335767581232E-2</c:v>
                </c:pt>
                <c:pt idx="96">
                  <c:v>4.2077745247120123E-2</c:v>
                </c:pt>
                <c:pt idx="97">
                  <c:v>4.1020844658426238E-2</c:v>
                </c:pt>
                <c:pt idx="98">
                  <c:v>4.003428791172705E-2</c:v>
                </c:pt>
                <c:pt idx="99">
                  <c:v>3.9094358409246237E-2</c:v>
                </c:pt>
                <c:pt idx="100">
                  <c:v>3.8180038360844597E-2</c:v>
                </c:pt>
                <c:pt idx="101">
                  <c:v>3.7271070167871803E-2</c:v>
                </c:pt>
                <c:pt idx="102">
                  <c:v>3.6346066809574758E-2</c:v>
                </c:pt>
                <c:pt idx="103">
                  <c:v>3.5380694724328823E-2</c:v>
                </c:pt>
                <c:pt idx="104">
                  <c:v>3.434598162429895E-2</c:v>
                </c:pt>
                <c:pt idx="105">
                  <c:v>3.3206902478582379E-2</c:v>
                </c:pt>
                <c:pt idx="106">
                  <c:v>3.1921560241071623E-2</c:v>
                </c:pt>
                <c:pt idx="107">
                  <c:v>3.044146982755205E-2</c:v>
                </c:pt>
                <c:pt idx="108">
                  <c:v>2.871360076627881E-2</c:v>
                </c:pt>
                <c:pt idx="109">
                  <c:v>2.668481182797651E-2</c:v>
                </c:pt>
                <c:pt idx="110">
                  <c:v>2.532036781357868E-2</c:v>
                </c:pt>
                <c:pt idx="111">
                  <c:v>2.2548465992802001E-2</c:v>
                </c:pt>
                <c:pt idx="112">
                  <c:v>1.9264948887935049E-2</c:v>
                </c:pt>
                <c:pt idx="113">
                  <c:v>1.5473046636634111E-2</c:v>
                </c:pt>
                <c:pt idx="114">
                  <c:v>1.122749001266431E-2</c:v>
                </c:pt>
                <c:pt idx="115">
                  <c:v>6.6346493041306229E-3</c:v>
                </c:pt>
                <c:pt idx="116">
                  <c:v>2.0891155915093141E-3</c:v>
                </c:pt>
                <c:pt idx="117">
                  <c:v>3.415006810455451E-3</c:v>
                </c:pt>
                <c:pt idx="118">
                  <c:v>7.9423947573752356E-3</c:v>
                </c:pt>
                <c:pt idx="119">
                  <c:v>1.221504468023964E-2</c:v>
                </c:pt>
                <c:pt idx="120">
                  <c:v>1.6184938657753289E-2</c:v>
                </c:pt>
                <c:pt idx="121">
                  <c:v>1.9816277992600651E-2</c:v>
                </c:pt>
                <c:pt idx="122">
                  <c:v>2.2981840302533849E-2</c:v>
                </c:pt>
                <c:pt idx="123">
                  <c:v>2.5672261155662419E-2</c:v>
                </c:pt>
                <c:pt idx="124">
                  <c:v>2.7889829616897299E-2</c:v>
                </c:pt>
                <c:pt idx="125">
                  <c:v>2.9636142851689921E-2</c:v>
                </c:pt>
                <c:pt idx="126">
                  <c:v>3.0895934115113662E-2</c:v>
                </c:pt>
                <c:pt idx="127">
                  <c:v>3.1606756921123698E-2</c:v>
                </c:pt>
                <c:pt idx="128">
                  <c:v>3.1579394671370747E-2</c:v>
                </c:pt>
                <c:pt idx="129">
                  <c:v>3.0232416574376711E-2</c:v>
                </c:pt>
                <c:pt idx="130">
                  <c:v>2.5576421099348118E-2</c:v>
                </c:pt>
                <c:pt idx="131">
                  <c:v>1.1944260256327671E-2</c:v>
                </c:pt>
                <c:pt idx="132">
                  <c:v>1.48918901312164E-2</c:v>
                </c:pt>
                <c:pt idx="133">
                  <c:v>2.4442343765041161E-2</c:v>
                </c:pt>
                <c:pt idx="134">
                  <c:v>2.8151510904475381E-2</c:v>
                </c:pt>
                <c:pt idx="135">
                  <c:v>2.869932498488308E-2</c:v>
                </c:pt>
                <c:pt idx="136">
                  <c:v>2.800749299543864E-2</c:v>
                </c:pt>
                <c:pt idx="137">
                  <c:v>2.6677689730840361E-2</c:v>
                </c:pt>
                <c:pt idx="138">
                  <c:v>2.4924109259996021E-2</c:v>
                </c:pt>
                <c:pt idx="139">
                  <c:v>2.2834279444727351E-2</c:v>
                </c:pt>
                <c:pt idx="140">
                  <c:v>2.044475657513577E-2</c:v>
                </c:pt>
                <c:pt idx="141">
                  <c:v>1.7764671834979939E-2</c:v>
                </c:pt>
                <c:pt idx="142">
                  <c:v>1.478136769538764E-2</c:v>
                </c:pt>
                <c:pt idx="143">
                  <c:v>1.145742597034049E-2</c:v>
                </c:pt>
                <c:pt idx="144">
                  <c:v>7.7206151599646822E-3</c:v>
                </c:pt>
                <c:pt idx="145">
                  <c:v>3.4442408558540841E-3</c:v>
                </c:pt>
                <c:pt idx="146">
                  <c:v>1.642136760353091E-3</c:v>
                </c:pt>
                <c:pt idx="147">
                  <c:v>7.7999962304542954E-3</c:v>
                </c:pt>
                <c:pt idx="148">
                  <c:v>1.5766631754315901E-2</c:v>
                </c:pt>
                <c:pt idx="149">
                  <c:v>2.677425289121808E-2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9-48CF-86BB-D471351F5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93520"/>
        <c:axId val="404968064"/>
      </c:scatterChart>
      <c:scatterChart>
        <c:scatterStyle val="lineMarker"/>
        <c:varyColors val="0"/>
        <c:ser>
          <c:idx val="1"/>
          <c:order val="1"/>
          <c:tx>
            <c:v>Magic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minus"/>
            <c:errValType val="fixedVal"/>
            <c:noEndCap val="0"/>
            <c:val val="1"/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(工作表1!$C$12,工作表1!$C$46,工作表1!$C$73,工作表1!$C$118,工作表1!$C$148)</c:f>
              <c:numCache>
                <c:formatCode>0.0000</c:formatCode>
                <c:ptCount val="5"/>
                <c:pt idx="0">
                  <c:v>0.60474377153364056</c:v>
                </c:pt>
                <c:pt idx="1">
                  <c:v>1.2788398987994309</c:v>
                </c:pt>
                <c:pt idx="2">
                  <c:v>1.814159087702885</c:v>
                </c:pt>
                <c:pt idx="3">
                  <c:v>2.7063610583717002</c:v>
                </c:pt>
                <c:pt idx="4">
                  <c:v>3.301163265996288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199-4116-B3F5-D20C7D14D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93520"/>
        <c:axId val="404968064"/>
      </c:scatterChart>
      <c:valAx>
        <c:axId val="511693520"/>
        <c:scaling>
          <c:orientation val="minMax"/>
          <c:max val="3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 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TW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a math"/>
                <a:ea typeface="+mn-ea"/>
                <a:cs typeface="+mn-cs"/>
              </a:defRPr>
            </a:pPr>
            <a:endParaRPr lang="zh-TW"/>
          </a:p>
        </c:txPr>
        <c:crossAx val="404968064"/>
        <c:crosses val="autoZero"/>
        <c:crossBetween val="midCat"/>
      </c:valAx>
      <c:valAx>
        <c:axId val="404968064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a math"/>
                <a:ea typeface="+mn-ea"/>
                <a:cs typeface="+mn-cs"/>
              </a:defRPr>
            </a:pPr>
            <a:endParaRPr lang="zh-TW"/>
          </a:p>
        </c:txPr>
        <c:crossAx val="51169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550209</xdr:colOff>
      <xdr:row>1</xdr:row>
      <xdr:rowOff>59951</xdr:rowOff>
    </xdr:from>
    <xdr:to>
      <xdr:col>33</xdr:col>
      <xdr:colOff>249891</xdr:colOff>
      <xdr:row>14</xdr:row>
      <xdr:rowOff>156881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D081B5B-7A02-450D-A2E7-3DD06B2F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292474</xdr:colOff>
      <xdr:row>2</xdr:row>
      <xdr:rowOff>3362</xdr:rowOff>
    </xdr:from>
    <xdr:to>
      <xdr:col>27</xdr:col>
      <xdr:colOff>592791</xdr:colOff>
      <xdr:row>15</xdr:row>
      <xdr:rowOff>99733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C7D3241-A8EC-4D9D-8D8C-4E7138822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379879</xdr:colOff>
      <xdr:row>10</xdr:row>
      <xdr:rowOff>58270</xdr:rowOff>
    </xdr:from>
    <xdr:to>
      <xdr:col>34</xdr:col>
      <xdr:colOff>75078</xdr:colOff>
      <xdr:row>24</xdr:row>
      <xdr:rowOff>1120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666F763-6695-4440-ACE9-CD1FF4FE0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381000</xdr:colOff>
      <xdr:row>22</xdr:row>
      <xdr:rowOff>168089</xdr:rowOff>
    </xdr:from>
    <xdr:to>
      <xdr:col>32</xdr:col>
      <xdr:colOff>76200</xdr:colOff>
      <xdr:row>36</xdr:row>
      <xdr:rowOff>133351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A5242DC-5AFE-4B62-B8C8-FB8979C3F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336176</xdr:colOff>
      <xdr:row>17</xdr:row>
      <xdr:rowOff>112057</xdr:rowOff>
    </xdr:from>
    <xdr:to>
      <xdr:col>20</xdr:col>
      <xdr:colOff>358588</xdr:colOff>
      <xdr:row>35</xdr:row>
      <xdr:rowOff>56028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69CACC7-F154-4B45-8734-9B0D56DE1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23</xdr:row>
      <xdr:rowOff>142875</xdr:rowOff>
    </xdr:from>
    <xdr:to>
      <xdr:col>18</xdr:col>
      <xdr:colOff>504824</xdr:colOff>
      <xdr:row>44</xdr:row>
      <xdr:rowOff>152400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7BD81A3-2B64-4C23-9426-AA572D4C3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404812</xdr:colOff>
      <xdr:row>24</xdr:row>
      <xdr:rowOff>57150</xdr:rowOff>
    </xdr:from>
    <xdr:ext cx="837409" cy="5201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6375CA98-4EA8-B22D-ACB3-5F6E0B26C60B}"/>
                </a:ext>
              </a:extLst>
            </xdr:cNvPr>
            <xdr:cNvSpPr txBox="1"/>
          </xdr:nvSpPr>
          <xdr:spPr>
            <a:xfrm>
              <a:off x="6310312" y="4867275"/>
              <a:ext cx="837409" cy="520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altLang="zh-TW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lang="en-US" altLang="zh-TW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altLang="zh-TW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log</m:t>
                            </m:r>
                          </m:e>
                          <m:sub>
                            <m:r>
                              <a:rPr lang="en-US" altLang="zh-TW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sub>
                        </m:sSub>
                      </m:fName>
                      <m:e>
                        <m:f>
                          <m:fPr>
                            <m:ctrlPr>
                              <a:rPr lang="en-US" altLang="zh-TW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altLang="zh-TW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altLang="zh-TW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altLang="zh-TW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altLang="zh-TW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zh-TW" altLang="en-US" sz="1800"/>
            </a:p>
          </xdr:txBody>
        </xdr:sp>
      </mc:Choice>
      <mc:Fallback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6375CA98-4EA8-B22D-ACB3-5F6E0B26C60B}"/>
                </a:ext>
              </a:extLst>
            </xdr:cNvPr>
            <xdr:cNvSpPr txBox="1"/>
          </xdr:nvSpPr>
          <xdr:spPr>
            <a:xfrm>
              <a:off x="6310312" y="4867275"/>
              <a:ext cx="837409" cy="520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log_10⁡〖𝑣/𝑣_𝐹 〗</a:t>
              </a:r>
              <a:endParaRPr lang="zh-TW" altLang="en-US" sz="1800"/>
            </a:p>
          </xdr:txBody>
        </xdr:sp>
      </mc:Fallback>
    </mc:AlternateContent>
    <xdr:clientData/>
  </xdr:oneCellAnchor>
  <xdr:twoCellAnchor>
    <xdr:from>
      <xdr:col>7</xdr:col>
      <xdr:colOff>400052</xdr:colOff>
      <xdr:row>2</xdr:row>
      <xdr:rowOff>47626</xdr:rowOff>
    </xdr:from>
    <xdr:to>
      <xdr:col>18</xdr:col>
      <xdr:colOff>504826</xdr:colOff>
      <xdr:row>23</xdr:row>
      <xdr:rowOff>47626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65EDFE6-E05E-4947-B962-EFA5AF390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100012</xdr:colOff>
      <xdr:row>21</xdr:row>
      <xdr:rowOff>133350</xdr:rowOff>
    </xdr:from>
    <xdr:ext cx="197618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E1482E93-D381-FEF9-4C0E-EED143567A4B}"/>
                </a:ext>
              </a:extLst>
            </xdr:cNvPr>
            <xdr:cNvSpPr txBox="1"/>
          </xdr:nvSpPr>
          <xdr:spPr>
            <a:xfrm>
              <a:off x="8396287" y="4333875"/>
              <a:ext cx="19761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800" b="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E1482E93-D381-FEF9-4C0E-EED143567A4B}"/>
                </a:ext>
              </a:extLst>
            </xdr:cNvPr>
            <xdr:cNvSpPr txBox="1"/>
          </xdr:nvSpPr>
          <xdr:spPr>
            <a:xfrm>
              <a:off x="8396287" y="4333875"/>
              <a:ext cx="19761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1800" b="0" i="0">
                  <a:latin typeface="Cambria Math" panose="02040503050406030204" pitchFamily="18" charset="0"/>
                </a:rPr>
                <a:t>𝛼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7</xdr:col>
      <xdr:colOff>576262</xdr:colOff>
      <xdr:row>3</xdr:row>
      <xdr:rowOff>114300</xdr:rowOff>
    </xdr:from>
    <xdr:ext cx="347663" cy="5779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E8C08CAA-9A79-F973-0096-C032B80C2CF8}"/>
                </a:ext>
              </a:extLst>
            </xdr:cNvPr>
            <xdr:cNvSpPr txBox="1"/>
          </xdr:nvSpPr>
          <xdr:spPr>
            <a:xfrm>
              <a:off x="5567362" y="714375"/>
              <a:ext cx="347663" cy="577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TW" sz="20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altLang="zh-TW" sz="20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sSub>
                          <m:sSubPr>
                            <m:ctrlPr>
                              <a:rPr lang="en-US" altLang="zh-TW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zh-TW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altLang="zh-TW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zh-TW" altLang="en-US" sz="3200"/>
            </a:p>
          </xdr:txBody>
        </xdr:sp>
      </mc:Choice>
      <mc:Fallback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E8C08CAA-9A79-F973-0096-C032B80C2CF8}"/>
                </a:ext>
              </a:extLst>
            </xdr:cNvPr>
            <xdr:cNvSpPr txBox="1"/>
          </xdr:nvSpPr>
          <xdr:spPr>
            <a:xfrm>
              <a:off x="5567362" y="714375"/>
              <a:ext cx="347663" cy="577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𝑣/𝑣_𝐹 </a:t>
              </a:r>
              <a:endParaRPr lang="zh-TW" altLang="en-US" sz="3200"/>
            </a:p>
          </xdr:txBody>
        </xdr:sp>
      </mc:Fallback>
    </mc:AlternateContent>
    <xdr:clientData/>
  </xdr:oneCellAnchor>
  <xdr:oneCellAnchor>
    <xdr:from>
      <xdr:col>13</xdr:col>
      <xdr:colOff>404812</xdr:colOff>
      <xdr:row>43</xdr:row>
      <xdr:rowOff>0</xdr:rowOff>
    </xdr:from>
    <xdr:ext cx="197618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CF9F3866-5BC6-BE02-9119-665F3B7C9C5F}"/>
                </a:ext>
              </a:extLst>
            </xdr:cNvPr>
            <xdr:cNvSpPr txBox="1"/>
          </xdr:nvSpPr>
          <xdr:spPr>
            <a:xfrm>
              <a:off x="9967912" y="8610600"/>
              <a:ext cx="19761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800" b="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CF9F3866-5BC6-BE02-9119-665F3B7C9C5F}"/>
                </a:ext>
              </a:extLst>
            </xdr:cNvPr>
            <xdr:cNvSpPr txBox="1"/>
          </xdr:nvSpPr>
          <xdr:spPr>
            <a:xfrm>
              <a:off x="9967912" y="8610600"/>
              <a:ext cx="19761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800" b="0" i="0">
                  <a:latin typeface="Cambria Math" panose="02040503050406030204" pitchFamily="18" charset="0"/>
                </a:rPr>
                <a:t>𝛼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4771E-54F9-4855-8884-93094DF138AD}" name="表格1" displayName="表格1" ref="A1:I300" totalsRowShown="0" headerRowDxfId="12" headerRowBorderDxfId="11" tableBorderDxfId="10">
  <autoFilter ref="A1:I300" xr:uid="{2CD4771E-54F9-4855-8884-93094DF138AD}"/>
  <tableColumns count="9">
    <tableColumn id="1" xr3:uid="{719D9841-B16B-44CF-9202-876F7D97A686}" name="m"/>
    <tableColumn id="2" xr3:uid="{77084E41-B478-444A-93C9-AAF8AE10E85A}" name="theta_rad"/>
    <tableColumn id="3" xr3:uid="{9D5E1AB4-D938-4BE4-B14B-A632B589F386}" name="theta_deg"/>
    <tableColumn id="4" xr3:uid="{1592B492-F54E-4FF4-863B-FD3A0BECD8E4}" name="alpha"/>
    <tableColumn id="5" xr3:uid="{B1FC72FB-D413-466E-9B65-A95E020D9308}" name="alpha_square"/>
    <tableColumn id="6" xr3:uid="{BF6AF5B6-4D03-4596-8DC5-AAC213C881ED}" name="Morie Lattice" dataDxfId="9">
      <calculatedColumnFormula>2.464/(2*SIN(表格1[[#This Row],[theta_rad]]/2))</calculatedColumnFormula>
    </tableColumn>
    <tableColumn id="7" xr3:uid="{C52421A5-1E02-45EA-89D3-B3893864BB50}" name="L" dataDxfId="8">
      <calculatedColumnFormula>表格1[[#This Row],[Morie Lattice]]/3^0.5</calculatedColumnFormula>
    </tableColumn>
    <tableColumn id="8" xr3:uid="{CE6CD566-FEF9-43D8-9B74-FE949B69789B}" name="length(BM)" dataDxfId="7"/>
    <tableColumn id="10" xr3:uid="{62B00B2E-C8E1-4533-B913-B2AC3ECE75DF}" name="length" dataDxfId="6">
      <calculatedColumnFormula>表格1[[#This Row],[length(BM)]]*2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DA348-2B59-479F-91B2-D8B4B01AFB91}" name="表格2" displayName="表格2" ref="A1:F151" totalsRowShown="0" headerRowDxfId="5" headerRowBorderDxfId="4" tableBorderDxfId="3">
  <autoFilter ref="A1:F151" xr:uid="{C06DA348-2B59-479F-91B2-D8B4B01AFB91}"/>
  <tableColumns count="6">
    <tableColumn id="1" xr3:uid="{BEE2A367-3272-45C2-92A0-184EE3F2994D}" name="m"/>
    <tableColumn id="2" xr3:uid="{8EA582D8-5465-4A76-AD6A-B7B6AEFBF265}" name="theta_range"/>
    <tableColumn id="3" xr3:uid="{6EC9A4B7-6EDA-484A-8627-7F37C93D845A}" name="alpha_range" dataDxfId="2"/>
    <tableColumn id="5" xr3:uid="{625F1F7F-4E75-45AD-BD1C-27D201255387}" name="alpha_square" dataDxfId="1">
      <calculatedColumnFormula>表格2[[#This Row],[alpha_range]]*表格2[[#This Row],[alpha_range]]</calculatedColumnFormula>
    </tableColumn>
    <tableColumn id="4" xr3:uid="{9690AC9A-AFCA-4468-95D8-BEC7FC5DB600}" name="theta_slope"/>
    <tableColumn id="6" xr3:uid="{8F4AA880-B700-4B2E-B57D-EA232920E698}" name="log(v)" dataDxfId="0">
      <calculatedColumnFormula>LOG10(表格2[[#This Row],[theta_slope]])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zoomScale="85" zoomScaleNormal="85" workbookViewId="0">
      <selection activeCell="I2" sqref="I2"/>
    </sheetView>
  </sheetViews>
  <sheetFormatPr defaultRowHeight="15.75" x14ac:dyDescent="0.25"/>
  <cols>
    <col min="2" max="2" width="11.85546875" customWidth="1"/>
    <col min="3" max="3" width="12.140625" customWidth="1"/>
    <col min="5" max="5" width="15.28515625" customWidth="1"/>
    <col min="8" max="8" width="9.140625" style="5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12</v>
      </c>
      <c r="I1" s="2" t="s">
        <v>13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6.5" x14ac:dyDescent="0.25">
      <c r="A2">
        <v>1</v>
      </c>
      <c r="B2">
        <v>0.38025120669293339</v>
      </c>
      <c r="C2">
        <v>21.786789298261809</v>
      </c>
      <c r="D2">
        <v>3.0285901522819909E-2</v>
      </c>
      <c r="E2">
        <v>9.1723583104994552E-4</v>
      </c>
      <c r="F2">
        <f>2.464/(2*SIN(表格1[[#This Row],[theta_rad]]/2))</f>
        <v>6.5191312304631532</v>
      </c>
      <c r="G2">
        <f>表格1[[#This Row],[Morie Lattice]]/3^0.5</f>
        <v>3.763822170790398</v>
      </c>
      <c r="H2" s="5">
        <v>6.5997545000000005E-2</v>
      </c>
      <c r="I2">
        <f>表格1[[#This Row],[length(BM)]]*2</f>
        <v>0.13199509000000001</v>
      </c>
      <c r="J2">
        <v>1</v>
      </c>
      <c r="K2" s="7"/>
    </row>
    <row r="3" spans="1:15" x14ac:dyDescent="0.25">
      <c r="A3">
        <v>2</v>
      </c>
      <c r="B3">
        <v>0.2299218410014128</v>
      </c>
      <c r="C3">
        <v>13.17355110725892</v>
      </c>
      <c r="D3">
        <v>4.9896293578279467E-2</v>
      </c>
      <c r="E3">
        <v>2.489640112849854E-3</v>
      </c>
      <c r="F3">
        <f>2.464/(2*SIN(表格1[[#This Row],[theta_rad]]/2))</f>
        <v>10.740326996884225</v>
      </c>
      <c r="G3">
        <f>表格1[[#This Row],[Morie Lattice]]/3^0.5</f>
        <v>6.200930682835712</v>
      </c>
      <c r="H3" s="5">
        <v>0.109148595</v>
      </c>
      <c r="I3">
        <f>表格1[[#This Row],[length(BM)]]*2</f>
        <v>0.21829719</v>
      </c>
      <c r="J3">
        <v>2</v>
      </c>
    </row>
    <row r="4" spans="1:15" ht="16.5" x14ac:dyDescent="0.25">
      <c r="A4">
        <v>3</v>
      </c>
      <c r="B4">
        <v>0.1645846864818947</v>
      </c>
      <c r="C4">
        <v>9.430007907896421</v>
      </c>
      <c r="D4">
        <v>6.9629351106769044E-2</v>
      </c>
      <c r="E4">
        <v>4.8482465355497197E-3</v>
      </c>
      <c r="F4">
        <f>2.464/(2*SIN(表格1[[#This Row],[theta_rad]]/2))</f>
        <v>14.98792687465483</v>
      </c>
      <c r="G4">
        <f>表格1[[#This Row],[Morie Lattice]]/3^0.5</f>
        <v>8.6532836156763935</v>
      </c>
      <c r="H4" s="5">
        <v>0.15247862100000001</v>
      </c>
      <c r="I4">
        <f>表格1[[#This Row],[length(BM)]]*2</f>
        <v>0.30495724200000002</v>
      </c>
      <c r="J4">
        <v>3</v>
      </c>
      <c r="K4" s="8">
        <v>29</v>
      </c>
      <c r="L4" s="7"/>
    </row>
    <row r="5" spans="1:15" ht="16.5" x14ac:dyDescent="0.25">
      <c r="A5">
        <v>4</v>
      </c>
      <c r="B5">
        <v>0.1281244985061081</v>
      </c>
      <c r="C5">
        <v>7.3409930166302173</v>
      </c>
      <c r="D5">
        <v>8.9403887494613504E-2</v>
      </c>
      <c r="E5">
        <v>7.9930550991495087E-3</v>
      </c>
      <c r="F5">
        <f>2.464/(2*SIN(表格1[[#This Row],[theta_rad]]/2))</f>
        <v>19.244455201433986</v>
      </c>
      <c r="G5">
        <f>表格1[[#This Row],[Morie Lattice]]/3^0.5</f>
        <v>11.110791390955606</v>
      </c>
      <c r="H5" s="5">
        <v>0.19586922300000001</v>
      </c>
      <c r="I5">
        <f>表格1[[#This Row],[length(BM)]]*2</f>
        <v>0.39173844600000002</v>
      </c>
      <c r="J5">
        <v>4</v>
      </c>
      <c r="K5" s="3">
        <v>30</v>
      </c>
      <c r="M5" s="7"/>
    </row>
    <row r="6" spans="1:15" x14ac:dyDescent="0.25">
      <c r="A6">
        <v>5</v>
      </c>
      <c r="B6">
        <v>0.10487654149803689</v>
      </c>
      <c r="C6">
        <v>6.0089831977661481</v>
      </c>
      <c r="D6">
        <v>0.1091973708641803</v>
      </c>
      <c r="E6">
        <v>1.192406580364933E-2</v>
      </c>
      <c r="F6">
        <f>2.464/(2*SIN(表格1[[#This Row],[theta_rad]]/2))</f>
        <v>23.505061922913573</v>
      </c>
      <c r="G6">
        <f>表格1[[#This Row],[Morie Lattice]]/3^0.5</f>
        <v>13.570653828512974</v>
      </c>
      <c r="H6" s="5">
        <v>0.23928750500000001</v>
      </c>
      <c r="I6">
        <f>表格1[[#This Row],[length(BM)]]*2</f>
        <v>0.47857501000000002</v>
      </c>
      <c r="J6">
        <v>5</v>
      </c>
      <c r="K6">
        <v>30</v>
      </c>
      <c r="L6">
        <v>68</v>
      </c>
    </row>
    <row r="7" spans="1:15" ht="16.5" x14ac:dyDescent="0.25">
      <c r="A7">
        <v>6</v>
      </c>
      <c r="B7">
        <v>8.8764789507091421E-2</v>
      </c>
      <c r="C7">
        <v>5.0858478081234733</v>
      </c>
      <c r="D7">
        <v>0.12900108003055261</v>
      </c>
      <c r="E7">
        <v>1.6641278649049029E-2</v>
      </c>
      <c r="F7">
        <f>2.464/(2*SIN(表格1[[#This Row],[theta_rad]]/2))</f>
        <v>27.767869777856589</v>
      </c>
      <c r="G7">
        <f>表格1[[#This Row],[Morie Lattice]]/3^0.5</f>
        <v>16.031787091067976</v>
      </c>
      <c r="H7" s="5">
        <v>0.282720729</v>
      </c>
      <c r="I7">
        <f>表格1[[#This Row],[length(BM)]]*2</f>
        <v>0.56544145800000001</v>
      </c>
      <c r="J7">
        <v>6</v>
      </c>
      <c r="K7">
        <v>30</v>
      </c>
      <c r="L7" s="8">
        <v>65</v>
      </c>
      <c r="N7" s="7"/>
    </row>
    <row r="8" spans="1:15" ht="16.5" x14ac:dyDescent="0.25">
      <c r="A8">
        <v>7</v>
      </c>
      <c r="B8">
        <v>7.6942054814656838E-2</v>
      </c>
      <c r="C8">
        <v>4.4084550079440721</v>
      </c>
      <c r="D8">
        <v>0.14881093251286531</v>
      </c>
      <c r="E8">
        <v>2.2144693635348559E-2</v>
      </c>
      <c r="F8">
        <f>2.464/(2*SIN(表格1[[#This Row],[theta_rad]]/2))</f>
        <v>32.031999999999918</v>
      </c>
      <c r="G8">
        <f>表格1[[#This Row],[Morie Lattice]]/3^0.5</f>
        <v>18.493683822682048</v>
      </c>
      <c r="H8" s="5">
        <v>0.32616292899999999</v>
      </c>
      <c r="I8">
        <f>表格1[[#This Row],[length(BM)]]*2</f>
        <v>0.65232585799999998</v>
      </c>
      <c r="J8">
        <v>7</v>
      </c>
      <c r="L8" s="3">
        <v>64</v>
      </c>
      <c r="O8" s="7"/>
    </row>
    <row r="9" spans="1:15" x14ac:dyDescent="0.25">
      <c r="A9">
        <v>8</v>
      </c>
      <c r="B9">
        <v>6.7897464735939703E-2</v>
      </c>
      <c r="C9">
        <v>3.890238169007683</v>
      </c>
      <c r="D9">
        <v>0.1686247631949345</v>
      </c>
      <c r="E9">
        <v>2.8434310762547741E-2</v>
      </c>
      <c r="F9">
        <f>2.464/(2*SIN(表格1[[#This Row],[theta_rad]]/2))</f>
        <v>36.296986541584609</v>
      </c>
      <c r="G9">
        <f>表格1[[#This Row],[Morie Lattice]]/3^0.5</f>
        <v>20.956074950556097</v>
      </c>
      <c r="H9" s="5">
        <v>0.36961094300000003</v>
      </c>
      <c r="I9">
        <f>表格1[[#This Row],[length(BM)]]*2</f>
        <v>0.73922188600000005</v>
      </c>
      <c r="J9">
        <v>8</v>
      </c>
      <c r="L9">
        <v>64</v>
      </c>
      <c r="M9">
        <v>92</v>
      </c>
    </row>
    <row r="10" spans="1:15" ht="16.5" x14ac:dyDescent="0.25">
      <c r="A10">
        <v>9</v>
      </c>
      <c r="B10">
        <v>6.0755017543170392E-2</v>
      </c>
      <c r="C10">
        <v>3.481006089466939</v>
      </c>
      <c r="D10">
        <v>0.18844131720683849</v>
      </c>
      <c r="E10">
        <v>3.5510130030648353E-2</v>
      </c>
      <c r="F10">
        <f>2.464/(2*SIN(表格1[[#This Row],[theta_rad]]/2))</f>
        <v>40.56255928809253</v>
      </c>
      <c r="G10">
        <f>表格1[[#This Row],[Morie Lattice]]/3^0.5</f>
        <v>23.418804524000379</v>
      </c>
      <c r="H10" s="5">
        <v>0.41306293700000002</v>
      </c>
      <c r="I10">
        <f>表格1[[#This Row],[length(BM)]]*2</f>
        <v>0.82612587400000004</v>
      </c>
      <c r="J10">
        <v>9</v>
      </c>
      <c r="M10" s="8">
        <v>91</v>
      </c>
    </row>
    <row r="11" spans="1:15" x14ac:dyDescent="0.25">
      <c r="A11">
        <v>10</v>
      </c>
      <c r="B11">
        <v>5.4971892400389737E-2</v>
      </c>
      <c r="C11">
        <v>3.149657426389616</v>
      </c>
      <c r="D11">
        <v>0.2082598171507076</v>
      </c>
      <c r="E11">
        <v>4.3372151439646157E-2</v>
      </c>
      <c r="F11">
        <f>2.464/(2*SIN(表格1[[#This Row],[theta_rad]]/2))</f>
        <v>44.828550902298218</v>
      </c>
      <c r="G11">
        <f>表格1[[#This Row],[Morie Lattice]]/3^0.5</f>
        <v>25.88177593082272</v>
      </c>
      <c r="H11" s="5">
        <v>0.45651777399999999</v>
      </c>
      <c r="I11">
        <f>表格1[[#This Row],[length(BM)]]*2</f>
        <v>0.91303554799999997</v>
      </c>
      <c r="J11">
        <v>10</v>
      </c>
      <c r="M11">
        <v>91</v>
      </c>
    </row>
    <row r="12" spans="1:15" x14ac:dyDescent="0.25">
      <c r="A12">
        <v>11</v>
      </c>
      <c r="B12">
        <v>5.0193830297331397E-2</v>
      </c>
      <c r="C12">
        <v>2.8758946336329712</v>
      </c>
      <c r="D12">
        <v>0.22807975576439321</v>
      </c>
      <c r="E12">
        <v>5.2020374989545259E-2</v>
      </c>
      <c r="F12">
        <f>2.464/(2*SIN(表格1[[#This Row],[theta_rad]]/2))</f>
        <v>49.094852194501257</v>
      </c>
      <c r="G12">
        <f>表格1[[#This Row],[Morie Lattice]]/3^0.5</f>
        <v>28.344926130320193</v>
      </c>
      <c r="H12" s="5">
        <v>0.49997471399999999</v>
      </c>
      <c r="I12">
        <f>表格1[[#This Row],[length(BM)]]*2</f>
        <v>0.99994942799999997</v>
      </c>
      <c r="J12">
        <v>11</v>
      </c>
      <c r="N12">
        <v>137</v>
      </c>
    </row>
    <row r="13" spans="1:15" ht="16.5" x14ac:dyDescent="0.25">
      <c r="A13">
        <v>12</v>
      </c>
      <c r="B13">
        <v>4.6179812957925621E-2</v>
      </c>
      <c r="C13">
        <v>2.645908381192688</v>
      </c>
      <c r="D13">
        <v>0.24790078797847331</v>
      </c>
      <c r="E13">
        <v>6.1454800680347962E-2</v>
      </c>
      <c r="F13">
        <f>2.464/(2*SIN(表格1[[#This Row],[theta_rad]]/2))</f>
        <v>53.361388887472522</v>
      </c>
      <c r="G13">
        <f>表格1[[#This Row],[Morie Lattice]]/3^0.5</f>
        <v>30.808212238514567</v>
      </c>
      <c r="H13" s="5">
        <v>0.54343325200000003</v>
      </c>
      <c r="I13">
        <f>表格1[[#This Row],[length(BM)]]*2</f>
        <v>1.0868665040000001</v>
      </c>
      <c r="J13">
        <v>12</v>
      </c>
      <c r="N13" s="8">
        <v>136</v>
      </c>
    </row>
    <row r="14" spans="1:15" ht="16.5" x14ac:dyDescent="0.25">
      <c r="A14">
        <v>13</v>
      </c>
      <c r="B14">
        <v>4.2760170076008262E-2</v>
      </c>
      <c r="C14">
        <v>2.449977276616869</v>
      </c>
      <c r="D14">
        <v>0.26772267089667168</v>
      </c>
      <c r="E14">
        <v>7.167542851204757E-2</v>
      </c>
      <c r="F14">
        <f>2.464/(2*SIN(表格1[[#This Row],[theta_rad]]/2))</f>
        <v>57.628108697059332</v>
      </c>
      <c r="G14">
        <f>表格1[[#This Row],[Morie Lattice]]/3^0.5</f>
        <v>33.271604069136224</v>
      </c>
      <c r="H14" s="5">
        <v>0.58689303400000004</v>
      </c>
      <c r="I14">
        <f>表格1[[#This Row],[length(BM)]]*2</f>
        <v>1.1737860680000001</v>
      </c>
      <c r="J14">
        <v>13</v>
      </c>
      <c r="N14">
        <v>136</v>
      </c>
      <c r="O14" s="3">
        <v>166</v>
      </c>
    </row>
    <row r="15" spans="1:15" ht="16.5" x14ac:dyDescent="0.25">
      <c r="A15">
        <v>14</v>
      </c>
      <c r="B15">
        <v>3.9812000624043289E-2</v>
      </c>
      <c r="C15">
        <v>2.2810596097298799</v>
      </c>
      <c r="D15">
        <v>0.28754522858960357</v>
      </c>
      <c r="E15">
        <v>8.2682258484647372E-2</v>
      </c>
      <c r="F15">
        <f>2.464/(2*SIN(表格1[[#This Row],[theta_rad]]/2))</f>
        <v>61.894973753933428</v>
      </c>
      <c r="G15">
        <f>表格1[[#This Row],[Morie Lattice]]/3^0.5</f>
        <v>35.735079758318285</v>
      </c>
      <c r="H15" s="5">
        <v>0.63035380200000002</v>
      </c>
      <c r="I15">
        <f>表格1[[#This Row],[length(BM)]]*2</f>
        <v>1.260707604</v>
      </c>
      <c r="J15">
        <v>14</v>
      </c>
      <c r="O15" s="8">
        <v>166</v>
      </c>
    </row>
    <row r="16" spans="1:15" x14ac:dyDescent="0.25">
      <c r="A16">
        <v>15</v>
      </c>
      <c r="B16">
        <v>3.724409868810688E-2</v>
      </c>
      <c r="C16">
        <v>2.13392966659725</v>
      </c>
      <c r="D16">
        <v>0.30736833050616058</v>
      </c>
      <c r="E16">
        <v>9.4475290598144399E-2</v>
      </c>
      <c r="F16">
        <f>2.464/(2*SIN(表格1[[#This Row],[theta_rad]]/2))</f>
        <v>66.161955956576747</v>
      </c>
      <c r="G16">
        <f>表格1[[#This Row],[Morie Lattice]]/3^0.5</f>
        <v>38.198623081641749</v>
      </c>
      <c r="H16" s="5">
        <v>0.67381536500000005</v>
      </c>
      <c r="I16">
        <f>表格1[[#This Row],[length(BM)]]*2</f>
        <v>1.3476307300000001</v>
      </c>
      <c r="J16">
        <v>15</v>
      </c>
      <c r="O16">
        <v>166</v>
      </c>
    </row>
    <row r="17" spans="1:9" x14ac:dyDescent="0.25">
      <c r="A17">
        <v>16</v>
      </c>
      <c r="B17">
        <v>3.4987355922669633E-2</v>
      </c>
      <c r="C17">
        <v>2.0046278306910139</v>
      </c>
      <c r="D17">
        <v>0.32719187773008412</v>
      </c>
      <c r="E17">
        <v>0.1070545248525383</v>
      </c>
      <c r="F17">
        <f>2.464/(2*SIN(表格1[[#This Row],[theta_rad]]/2))</f>
        <v>70.429034012967648</v>
      </c>
      <c r="G17">
        <f>表格1[[#This Row],[Morie Lattice]]/3^0.5</f>
        <v>40.662221746152184</v>
      </c>
      <c r="H17" s="5">
        <v>0.717277579</v>
      </c>
      <c r="I17">
        <f>表格1[[#This Row],[length(BM)]]*2</f>
        <v>1.434555158</v>
      </c>
    </row>
    <row r="18" spans="1:9" x14ac:dyDescent="0.25">
      <c r="A18">
        <v>17</v>
      </c>
      <c r="B18">
        <v>3.2988452020935859E-2</v>
      </c>
      <c r="C18">
        <v>1.8900990734694361</v>
      </c>
      <c r="D18">
        <v>0.34701579394581678</v>
      </c>
      <c r="E18">
        <v>0.1204199612478456</v>
      </c>
      <c r="F18">
        <f>2.464/(2*SIN(表格1[[#This Row],[theta_rad]]/2))</f>
        <v>74.696191495953329</v>
      </c>
      <c r="G18">
        <f>表格1[[#This Row],[Morie Lattice]]/3^0.5</f>
        <v>43.125866267628489</v>
      </c>
      <c r="H18" s="5">
        <v>0.76074033200000002</v>
      </c>
      <c r="I18">
        <f>表格1[[#This Row],[length(BM)]]*2</f>
        <v>1.521480664</v>
      </c>
    </row>
    <row r="19" spans="1:9" x14ac:dyDescent="0.25">
      <c r="A19">
        <v>18</v>
      </c>
      <c r="B19">
        <v>3.1205590107628842E-2</v>
      </c>
      <c r="C19">
        <v>1.787948610382325</v>
      </c>
      <c r="D19">
        <v>0.36684001933273802</v>
      </c>
      <c r="E19">
        <v>0.13457159978404359</v>
      </c>
      <c r="F19">
        <f>2.464/(2*SIN(表格1[[#This Row],[theta_rad]]/2))</f>
        <v>78.963415528965541</v>
      </c>
      <c r="G19">
        <f>表格1[[#This Row],[Morie Lattice]]/3^0.5</f>
        <v>45.589549211780536</v>
      </c>
      <c r="H19" s="5">
        <v>0.804203538</v>
      </c>
      <c r="I19">
        <f>表格1[[#This Row],[length(BM)]]*2</f>
        <v>1.608407076</v>
      </c>
    </row>
    <row r="20" spans="1:9" x14ac:dyDescent="0.25">
      <c r="A20">
        <v>19</v>
      </c>
      <c r="B20">
        <v>2.9605543513592621E-2</v>
      </c>
      <c r="C20">
        <v>1.6962726935197669</v>
      </c>
      <c r="D20">
        <v>0.38666450633740962</v>
      </c>
      <c r="E20">
        <v>0.14950944046115269</v>
      </c>
      <c r="F20">
        <f>2.464/(2*SIN(表格1[[#This Row],[theta_rad]]/2))</f>
        <v>83.230695875983997</v>
      </c>
      <c r="G20">
        <f>表格1[[#This Row],[Morie Lattice]]/3^0.5</f>
        <v>48.05326466883924</v>
      </c>
      <c r="H20" s="5">
        <v>0.84766712499999997</v>
      </c>
      <c r="I20">
        <f>表格1[[#This Row],[length(BM)]]*2</f>
        <v>1.6953342499999999</v>
      </c>
    </row>
    <row r="21" spans="1:9" x14ac:dyDescent="0.25">
      <c r="A21">
        <v>20</v>
      </c>
      <c r="B21">
        <v>2.8161566434298211E-2</v>
      </c>
      <c r="C21">
        <v>1.61353890116257</v>
      </c>
      <c r="D21">
        <v>0.40648921668248561</v>
      </c>
      <c r="E21">
        <v>0.1652334832791407</v>
      </c>
      <c r="F21">
        <f>2.464/(2*SIN(表格1[[#This Row],[theta_rad]]/2))</f>
        <v>87.498024297695025</v>
      </c>
      <c r="G21">
        <f>表格1[[#This Row],[Morie Lattice]]/3^0.5</f>
        <v>50.517007881834644</v>
      </c>
      <c r="H21" s="5">
        <v>0.89113103900000001</v>
      </c>
      <c r="I21">
        <f>表格1[[#This Row],[length(BM)]]*2</f>
        <v>1.782262078</v>
      </c>
    </row>
    <row r="22" spans="1:9" x14ac:dyDescent="0.25">
      <c r="A22">
        <v>21</v>
      </c>
      <c r="B22">
        <v>2.685188737192103E-2</v>
      </c>
      <c r="C22">
        <v>1.5384998183717069</v>
      </c>
      <c r="D22">
        <v>0.42631411921029921</v>
      </c>
      <c r="E22">
        <v>0.18174372823805321</v>
      </c>
      <c r="F22">
        <f>2.464/(2*SIN(表格1[[#This Row],[theta_rad]]/2))</f>
        <v>91.76539408731729</v>
      </c>
      <c r="G22">
        <f>表格1[[#This Row],[Morie Lattice]]/3^0.5</f>
        <v>52.980774978604735</v>
      </c>
      <c r="H22" s="5">
        <v>0.934595234</v>
      </c>
      <c r="I22">
        <f>表格1[[#This Row],[length(BM)]]*2</f>
        <v>1.869190468</v>
      </c>
    </row>
    <row r="23" spans="1:9" x14ac:dyDescent="0.25">
      <c r="A23">
        <v>22</v>
      </c>
      <c r="B23">
        <v>2.5658604146265869E-2</v>
      </c>
      <c r="C23">
        <v>1.4701297257779089</v>
      </c>
      <c r="D23">
        <v>0.44613918830092181</v>
      </c>
      <c r="E23">
        <v>0.19904017533780541</v>
      </c>
      <c r="F23">
        <f>2.464/(2*SIN(表格1[[#This Row],[theta_rad]]/2))</f>
        <v>96.032799730084349</v>
      </c>
      <c r="G23">
        <f>表格1[[#This Row],[Morie Lattice]]/3^0.5</f>
        <v>55.444562775197625</v>
      </c>
      <c r="H23" s="5">
        <v>0.97805967199999999</v>
      </c>
      <c r="I23">
        <f>表格1[[#This Row],[length(BM)]]*2</f>
        <v>1.956119344</v>
      </c>
    </row>
    <row r="24" spans="1:9" x14ac:dyDescent="0.25">
      <c r="A24">
        <v>23</v>
      </c>
      <c r="B24">
        <v>2.4566860915546981E-2</v>
      </c>
      <c r="C24">
        <v>1.40757744634574</v>
      </c>
      <c r="D24">
        <v>0.46596440269459849</v>
      </c>
      <c r="E24">
        <v>0.21712282457853391</v>
      </c>
      <c r="F24">
        <f>2.464/(2*SIN(表格1[[#This Row],[theta_rad]]/2))</f>
        <v>100.30023664976996</v>
      </c>
      <c r="G24">
        <f>表格1[[#This Row],[Morie Lattice]]/3^0.5</f>
        <v>57.908368629527857</v>
      </c>
      <c r="H24" s="5">
        <v>1.021524323</v>
      </c>
      <c r="I24">
        <f>表格1[[#This Row],[length(BM)]]*2</f>
        <v>2.0430486459999999</v>
      </c>
    </row>
    <row r="25" spans="1:9" x14ac:dyDescent="0.25">
      <c r="A25">
        <v>24</v>
      </c>
      <c r="B25">
        <v>2.3564226668096801E-2</v>
      </c>
      <c r="C25">
        <v>1.350130735571569</v>
      </c>
      <c r="D25">
        <v>0.4857897446016497</v>
      </c>
      <c r="E25">
        <v>0.23599167596013601</v>
      </c>
      <c r="F25">
        <f>2.464/(2*SIN(表格1[[#This Row],[theta_rad]]/2))</f>
        <v>104.56770101709232</v>
      </c>
      <c r="G25">
        <f>表格1[[#This Row],[Morie Lattice]]/3^0.5</f>
        <v>60.372190330758556</v>
      </c>
      <c r="H25" s="5">
        <v>1.0649891600000001</v>
      </c>
      <c r="I25">
        <f>表格1[[#This Row],[length(BM)]]*2</f>
        <v>2.1299783200000002</v>
      </c>
    </row>
    <row r="26" spans="1:9" x14ac:dyDescent="0.25">
      <c r="A26">
        <v>25</v>
      </c>
      <c r="B26">
        <v>2.2640219901316028E-2</v>
      </c>
      <c r="C26">
        <v>1.297189047593502</v>
      </c>
      <c r="D26">
        <v>0.5056151990225175</v>
      </c>
      <c r="E26">
        <v>0.25564672948257999</v>
      </c>
      <c r="F26">
        <f>2.464/(2*SIN(表格1[[#This Row],[theta_rad]]/2))</f>
        <v>108.83518960335148</v>
      </c>
      <c r="G26">
        <f>表格1[[#This Row],[Morie Lattice]]/3^0.5</f>
        <v>62.836026014798939</v>
      </c>
      <c r="H26" s="5">
        <v>1.108454161</v>
      </c>
      <c r="I26">
        <f>表格1[[#This Row],[length(BM)]]*2</f>
        <v>2.2169083220000001</v>
      </c>
    </row>
    <row r="27" spans="1:9" x14ac:dyDescent="0.25">
      <c r="A27">
        <v>26</v>
      </c>
      <c r="B27">
        <v>2.1785940886646579E-2</v>
      </c>
      <c r="C27">
        <v>1.2482424655263471</v>
      </c>
      <c r="D27">
        <v>0.52544075322161321</v>
      </c>
      <c r="E27">
        <v>0.27608798514609623</v>
      </c>
      <c r="F27">
        <f>2.464/(2*SIN(表格1[[#This Row],[theta_rad]]/2))</f>
        <v>113.10269966717375</v>
      </c>
      <c r="G27">
        <f>表格1[[#This Row],[Morie Lattice]]/3^0.5</f>
        <v>65.299874098916163</v>
      </c>
      <c r="H27" s="5">
        <v>1.1519193080000001</v>
      </c>
      <c r="I27">
        <f>表格1[[#This Row],[length(BM)]]*2</f>
        <v>2.3038386160000002</v>
      </c>
    </row>
    <row r="28" spans="1:9" x14ac:dyDescent="0.25">
      <c r="A28">
        <v>27</v>
      </c>
      <c r="B28">
        <v>2.0993784144368879E-2</v>
      </c>
      <c r="C28">
        <v>1.2028552274810029</v>
      </c>
      <c r="D28">
        <v>0.54526639631499063</v>
      </c>
      <c r="E28">
        <v>0.29731544295033641</v>
      </c>
      <c r="F28">
        <f>2.464/(2*SIN(表格1[[#This Row],[theta_rad]]/2))</f>
        <v>117.37022886575707</v>
      </c>
      <c r="G28">
        <f>表格1[[#This Row],[Morie Lattice]]/3^0.5</f>
        <v>67.763733230492832</v>
      </c>
      <c r="H28" s="5">
        <v>1.195384585</v>
      </c>
      <c r="I28">
        <f>表格1[[#This Row],[length(BM)]]*2</f>
        <v>2.39076917</v>
      </c>
    </row>
    <row r="29" spans="1:9" x14ac:dyDescent="0.25">
      <c r="A29">
        <v>28</v>
      </c>
      <c r="B29">
        <v>2.0257211433648309E-2</v>
      </c>
      <c r="C29">
        <v>1.1606527198522041</v>
      </c>
      <c r="D29">
        <v>0.56509211894657219</v>
      </c>
      <c r="E29">
        <v>0.31932910289552691</v>
      </c>
      <c r="F29">
        <f>2.464/(2*SIN(表格1[[#This Row],[theta_rad]]/2))</f>
        <v>121.63777518517765</v>
      </c>
      <c r="G29">
        <f>表格1[[#This Row],[Morie Lattice]]/3^0.5</f>
        <v>70.227602246789502</v>
      </c>
      <c r="H29" s="5">
        <v>1.238849979</v>
      </c>
      <c r="I29">
        <f>表格1[[#This Row],[length(BM)]]*2</f>
        <v>2.4776999580000001</v>
      </c>
    </row>
    <row r="30" spans="1:9" x14ac:dyDescent="0.25">
      <c r="A30">
        <v>29</v>
      </c>
      <c r="B30">
        <v>1.9570570902621331E-2</v>
      </c>
      <c r="C30">
        <v>1.121311115381737</v>
      </c>
      <c r="D30">
        <v>0.58491791302848717</v>
      </c>
      <c r="E30">
        <v>0.34212896498160089</v>
      </c>
      <c r="F30">
        <f>2.464/(2*SIN(表格1[[#This Row],[theta_rad]]/2))</f>
        <v>125.905336884497</v>
      </c>
      <c r="G30">
        <f>表格1[[#This Row],[Morie Lattice]]/3^0.5</f>
        <v>72.691480142674862</v>
      </c>
      <c r="H30" s="5">
        <v>1.282315477</v>
      </c>
      <c r="I30">
        <f>表格1[[#This Row],[length(BM)]]*2</f>
        <v>2.5646309540000001</v>
      </c>
    </row>
    <row r="31" spans="1:9" s="3" customFormat="1" ht="16.5" x14ac:dyDescent="0.25">
      <c r="A31" s="3">
        <v>30</v>
      </c>
      <c r="B31" s="3">
        <v>1.8928951807174708E-2</v>
      </c>
      <c r="C31" s="3">
        <v>1.0845490491576431</v>
      </c>
      <c r="D31" s="3">
        <v>0.60474377153364056</v>
      </c>
      <c r="E31" s="3">
        <v>0.36571502920873211</v>
      </c>
      <c r="F31" s="3">
        <f>2.464/(2*SIN(表格1[[#This Row],[theta_rad]]/2))</f>
        <v>130.17291245111178</v>
      </c>
      <c r="G31" s="3">
        <f>表格1[[#This Row],[Morie Lattice]]/3^0.5</f>
        <v>75.155366044846986</v>
      </c>
      <c r="H31" s="6">
        <v>1.325781069</v>
      </c>
      <c r="I31" s="3">
        <f>表格1[[#This Row],[length(BM)]]*2</f>
        <v>2.6515621380000001</v>
      </c>
    </row>
    <row r="32" spans="1:9" x14ac:dyDescent="0.25">
      <c r="A32">
        <v>31</v>
      </c>
      <c r="B32">
        <v>1.8328066896350938E-2</v>
      </c>
      <c r="C32">
        <v>1.050120879794346</v>
      </c>
      <c r="D32">
        <v>0.62456968832675142</v>
      </c>
      <c r="E32">
        <v>0.3900872955765754</v>
      </c>
      <c r="F32">
        <f>2.464/(2*SIN(表格1[[#This Row],[theta_rad]]/2))</f>
        <v>134.44050056438445</v>
      </c>
      <c r="G32">
        <f>表格1[[#This Row],[Morie Lattice]]/3^0.5</f>
        <v>77.619259190835407</v>
      </c>
      <c r="H32" s="5">
        <v>1.369246746</v>
      </c>
      <c r="I32">
        <f>表格1[[#This Row],[length(BM)]]*2</f>
        <v>2.7384934919999999</v>
      </c>
    </row>
    <row r="33" spans="1:9" x14ac:dyDescent="0.25">
      <c r="A33">
        <v>32</v>
      </c>
      <c r="B33">
        <v>1.7764156506746079E-2</v>
      </c>
      <c r="C33">
        <v>1.0178111944464101</v>
      </c>
      <c r="D33">
        <v>0.64439565802804322</v>
      </c>
      <c r="E33">
        <v>0.41524576408539482</v>
      </c>
      <c r="F33">
        <f>2.464/(2*SIN(表格1[[#This Row],[theta_rad]]/2))</f>
        <v>138.70810006630191</v>
      </c>
      <c r="G33">
        <f>表格1[[#This Row],[Morie Lattice]]/3^0.5</f>
        <v>80.083158912060966</v>
      </c>
      <c r="H33" s="5">
        <v>1.4127125</v>
      </c>
      <c r="I33">
        <f>表格1[[#This Row],[length(BM)]]*2</f>
        <v>2.8254250000000001</v>
      </c>
    </row>
    <row r="34" spans="1:9" x14ac:dyDescent="0.25">
      <c r="A34">
        <v>33</v>
      </c>
      <c r="B34">
        <v>1.7233909830795799E-2</v>
      </c>
      <c r="C34">
        <v>0.9874302978136178</v>
      </c>
      <c r="D34">
        <v>0.66422167589982828</v>
      </c>
      <c r="E34">
        <v>0.4411904347351765</v>
      </c>
      <c r="F34">
        <f>2.464/(2*SIN(表格1[[#This Row],[theta_rad]]/2))</f>
        <v>142.97570993706267</v>
      </c>
      <c r="G34">
        <f>表格1[[#This Row],[Morie Lattice]]/3^0.5</f>
        <v>82.547064619740993</v>
      </c>
      <c r="H34" s="5">
        <v>1.456178325</v>
      </c>
      <c r="I34">
        <f>表格1[[#This Row],[length(BM)]]*2</f>
        <v>2.91235665</v>
      </c>
    </row>
    <row r="35" spans="1:9" x14ac:dyDescent="0.25">
      <c r="A35">
        <v>34</v>
      </c>
      <c r="B35">
        <v>1.673439987505166E-2</v>
      </c>
      <c r="C35">
        <v>0.95881048552471249</v>
      </c>
      <c r="D35">
        <v>0.68404773775343264</v>
      </c>
      <c r="E35">
        <v>0.46792130752558903</v>
      </c>
      <c r="F35">
        <f>2.464/(2*SIN(表格1[[#This Row],[theta_rad]]/2))</f>
        <v>147.24332927504213</v>
      </c>
      <c r="G35">
        <f>表格1[[#This Row],[Morie Lattice]]/3^0.5</f>
        <v>85.010975793322288</v>
      </c>
      <c r="H35" s="5">
        <v>1.4996442139999999</v>
      </c>
      <c r="I35">
        <f>表格1[[#This Row],[length(BM)]]*2</f>
        <v>2.9992884279999998</v>
      </c>
    </row>
    <row r="36" spans="1:9" x14ac:dyDescent="0.25">
      <c r="A36">
        <v>35</v>
      </c>
      <c r="B36">
        <v>1.6263029409546551E-2</v>
      </c>
      <c r="C36">
        <v>0.93180294726415236</v>
      </c>
      <c r="D36">
        <v>0.70387383987266172</v>
      </c>
      <c r="E36">
        <v>0.49543838245708538</v>
      </c>
      <c r="F36">
        <f>2.464/(2*SIN(表格1[[#This Row],[theta_rad]]/2))</f>
        <v>151.51095728031808</v>
      </c>
      <c r="G36">
        <f>表格1[[#This Row],[Morie Lattice]]/3^0.5</f>
        <v>87.474891970969537</v>
      </c>
      <c r="H36" s="5">
        <v>1.5431101629999999</v>
      </c>
      <c r="I36">
        <f>表格1[[#This Row],[length(BM)]]*2</f>
        <v>3.0862203259999998</v>
      </c>
    </row>
    <row r="37" spans="1:9" x14ac:dyDescent="0.25">
      <c r="A37">
        <v>36</v>
      </c>
      <c r="B37">
        <v>1.5817485800822869E-2</v>
      </c>
      <c r="C37">
        <v>0.90627517889525744</v>
      </c>
      <c r="D37">
        <v>0.72369997894806182</v>
      </c>
      <c r="E37">
        <v>0.52374165952942509</v>
      </c>
      <c r="F37">
        <f>2.464/(2*SIN(表格1[[#This Row],[theta_rad]]/2))</f>
        <v>155.77859324052091</v>
      </c>
      <c r="G37">
        <f>表格1[[#This Row],[Morie Lattice]]/3^0.5</f>
        <v>89.938812741395964</v>
      </c>
      <c r="H37" s="5">
        <v>1.5865761650000001</v>
      </c>
      <c r="I37">
        <f>表格1[[#This Row],[length(BM)]]*2</f>
        <v>3.1731523300000002</v>
      </c>
    </row>
    <row r="38" spans="1:9" x14ac:dyDescent="0.25">
      <c r="A38">
        <v>37</v>
      </c>
      <c r="B38">
        <v>1.53957030705399E-2</v>
      </c>
      <c r="C38">
        <v>0.88210880857853857</v>
      </c>
      <c r="D38">
        <v>0.74352615202358097</v>
      </c>
      <c r="E38">
        <v>0.55283113874299328</v>
      </c>
      <c r="F38">
        <f>2.464/(2*SIN(表格1[[#This Row],[theta_rad]]/2))</f>
        <v>160.0462365193514</v>
      </c>
      <c r="G38">
        <f>表格1[[#This Row],[Morie Lattice]]/3^0.5</f>
        <v>92.402737737234048</v>
      </c>
      <c r="H38" s="5">
        <v>1.6300422160000001</v>
      </c>
      <c r="I38">
        <f>表格1[[#This Row],[length(BM)]]*2</f>
        <v>3.2600844320000002</v>
      </c>
    </row>
    <row r="39" spans="1:9" x14ac:dyDescent="0.25">
      <c r="A39">
        <v>38</v>
      </c>
      <c r="B39">
        <v>1.4995829866230289E-2</v>
      </c>
      <c r="C39">
        <v>0.85919776163122541</v>
      </c>
      <c r="D39">
        <v>0.76335235644936839</v>
      </c>
      <c r="E39">
        <v>0.58270682009680352</v>
      </c>
      <c r="F39">
        <f>2.464/(2*SIN(表格1[[#This Row],[theta_rad]]/2))</f>
        <v>164.31388654642126</v>
      </c>
      <c r="G39">
        <f>表格1[[#This Row],[Morie Lattice]]/3^0.5</f>
        <v>94.866666629169941</v>
      </c>
      <c r="H39" s="5">
        <v>1.673508314</v>
      </c>
      <c r="I39">
        <f>表格1[[#This Row],[length(BM)]]*2</f>
        <v>3.347016628</v>
      </c>
    </row>
    <row r="40" spans="1:9" x14ac:dyDescent="0.25">
      <c r="A40">
        <v>39</v>
      </c>
      <c r="B40">
        <v>1.4616202296524919E-2</v>
      </c>
      <c r="C40">
        <v>0.83744670410029953</v>
      </c>
      <c r="D40">
        <v>0.78317858984533706</v>
      </c>
      <c r="E40">
        <v>0.61336870359213069</v>
      </c>
      <c r="F40">
        <f>2.464/(2*SIN(表格1[[#This Row],[theta_rad]]/2))</f>
        <v>168.58154280940965</v>
      </c>
      <c r="G40">
        <f>表格1[[#This Row],[Morie Lattice]]/3^0.5</f>
        <v>97.330599121415091</v>
      </c>
      <c r="H40" s="5">
        <v>1.716974454</v>
      </c>
      <c r="I40">
        <f>表格1[[#This Row],[length(BM)]]*2</f>
        <v>3.4339489080000001</v>
      </c>
    </row>
    <row r="41" spans="1:9" x14ac:dyDescent="0.25">
      <c r="A41">
        <v>40</v>
      </c>
      <c r="B41">
        <v>1.425532079037181E-2</v>
      </c>
      <c r="C41">
        <v>0.8167697168934015</v>
      </c>
      <c r="D41">
        <v>0.80300485006526268</v>
      </c>
      <c r="E41">
        <v>0.64481678922833496</v>
      </c>
      <c r="F41">
        <f>2.464/(2*SIN(表格1[[#This Row],[theta_rad]]/2))</f>
        <v>172.84920484633523</v>
      </c>
      <c r="G41">
        <f>表格1[[#This Row],[Morie Lattice]]/3^0.5</f>
        <v>99.794534947244415</v>
      </c>
      <c r="H41" s="5">
        <v>1.760440633</v>
      </c>
      <c r="I41">
        <f>表格1[[#This Row],[length(BM)]]*2</f>
        <v>3.520881266</v>
      </c>
    </row>
    <row r="42" spans="1:9" x14ac:dyDescent="0.25">
      <c r="A42">
        <v>41</v>
      </c>
      <c r="B42">
        <v>1.391183030141958E-2</v>
      </c>
      <c r="C42">
        <v>0.79708916157355392</v>
      </c>
      <c r="D42">
        <v>0.82283113517008977</v>
      </c>
      <c r="E42">
        <v>0.67705107700529854</v>
      </c>
      <c r="F42">
        <f>2.464/(2*SIN(表格1[[#This Row],[theta_rad]]/2))</f>
        <v>177.11687223981062</v>
      </c>
      <c r="G42">
        <f>表格1[[#This Row],[Morie Lattice]]/3^0.5</f>
        <v>102.25847386567922</v>
      </c>
      <c r="H42" s="5">
        <v>1.803906848</v>
      </c>
      <c r="I42">
        <f>表格1[[#This Row],[length(BM)]]*2</f>
        <v>3.607813696</v>
      </c>
    </row>
    <row r="43" spans="1:9" x14ac:dyDescent="0.25">
      <c r="A43">
        <v>42</v>
      </c>
      <c r="B43">
        <v>1.3584503306787321E-2</v>
      </c>
      <c r="C43">
        <v>0.77833470626042423</v>
      </c>
      <c r="D43">
        <v>0.84265744340328996</v>
      </c>
      <c r="E43">
        <v>0.7100715669229688</v>
      </c>
      <c r="F43">
        <f>2.464/(2*SIN(表格1[[#This Row],[theta_rad]]/2))</f>
        <v>181.38454461173779</v>
      </c>
      <c r="G43">
        <f>表格1[[#This Row],[Morie Lattice]]/3^0.5</f>
        <v>104.72241565842451</v>
      </c>
      <c r="H43" s="5">
        <v>1.847373098</v>
      </c>
      <c r="I43">
        <f>表格1[[#This Row],[length(BM)]]*2</f>
        <v>3.6947461960000001</v>
      </c>
    </row>
    <row r="44" spans="1:9" x14ac:dyDescent="0.25">
      <c r="A44">
        <v>43</v>
      </c>
      <c r="B44">
        <v>1.3272225150564599E-2</v>
      </c>
      <c r="C44">
        <v>0.76044248587473529</v>
      </c>
      <c r="D44">
        <v>0.86248377317002067</v>
      </c>
      <c r="E44">
        <v>0.74387825898159565</v>
      </c>
      <c r="F44">
        <f>2.464/(2*SIN(表格1[[#This Row],[theta_rad]]/2))</f>
        <v>185.65222161882201</v>
      </c>
      <c r="G44">
        <f>表格1[[#This Row],[Morie Lattice]]/3^0.5</f>
        <v>107.18636012727896</v>
      </c>
      <c r="H44" s="5">
        <v>1.890839379</v>
      </c>
      <c r="I44">
        <f>表格1[[#This Row],[length(BM)]]*2</f>
        <v>3.781678758</v>
      </c>
    </row>
    <row r="45" spans="1:9" x14ac:dyDescent="0.25">
      <c r="A45">
        <v>44</v>
      </c>
      <c r="B45">
        <v>1.297398136326783E-2</v>
      </c>
      <c r="C45">
        <v>0.74335437559663253</v>
      </c>
      <c r="D45">
        <v>0.88231012301861034</v>
      </c>
      <c r="E45">
        <v>0.77847115318111526</v>
      </c>
      <c r="F45">
        <f>2.464/(2*SIN(表格1[[#This Row],[theta_rad]]/2))</f>
        <v>189.91990294858653</v>
      </c>
      <c r="G45">
        <f>表格1[[#This Row],[Morie Lattice]]/3^0.5</f>
        <v>109.65030709183404</v>
      </c>
      <c r="H45" s="5">
        <v>1.9343056890000001</v>
      </c>
      <c r="I45">
        <f>表格1[[#This Row],[length(BM)]]*2</f>
        <v>3.8686113780000002</v>
      </c>
    </row>
    <row r="46" spans="1:9" x14ac:dyDescent="0.25">
      <c r="A46">
        <v>45</v>
      </c>
      <c r="B46">
        <v>1.2688846653276921E-2</v>
      </c>
      <c r="C46">
        <v>0.72701736012146723</v>
      </c>
      <c r="D46">
        <v>0.90213649162515064</v>
      </c>
      <c r="E46">
        <v>0.81385024952173546</v>
      </c>
      <c r="F46">
        <f>2.464/(2*SIN(表格1[[#This Row],[theta_rad]]/2))</f>
        <v>194.18758831605649</v>
      </c>
      <c r="G46">
        <f>表格1[[#This Row],[Morie Lattice]]/3^0.5</f>
        <v>112.11425638755945</v>
      </c>
      <c r="H46" s="5">
        <v>1.977772026</v>
      </c>
      <c r="I46">
        <f>表格1[[#This Row],[length(BM)]]*2</f>
        <v>3.955544052</v>
      </c>
    </row>
    <row r="47" spans="1:9" x14ac:dyDescent="0.25">
      <c r="A47">
        <v>46</v>
      </c>
      <c r="B47">
        <v>1.241597531860634E-2</v>
      </c>
      <c r="C47">
        <v>0.71138298429474078</v>
      </c>
      <c r="D47">
        <v>0.92196287777932762</v>
      </c>
      <c r="E47">
        <v>0.85001554800313939</v>
      </c>
      <c r="F47">
        <f>2.464/(2*SIN(表格1[[#This Row],[theta_rad]]/2))</f>
        <v>198.45527746070775</v>
      </c>
      <c r="G47">
        <f>表格1[[#This Row],[Morie Lattice]]/3^0.5</f>
        <v>114.5782078640415</v>
      </c>
      <c r="H47" s="5">
        <v>2.0212383890000001</v>
      </c>
      <c r="I47">
        <f>表格1[[#This Row],[length(BM)]]*2</f>
        <v>4.0424767780000002</v>
      </c>
    </row>
    <row r="48" spans="1:9" x14ac:dyDescent="0.25">
      <c r="A48">
        <v>47</v>
      </c>
      <c r="B48">
        <v>1.215459286969524E-2</v>
      </c>
      <c r="C48">
        <v>0.69640687313334082</v>
      </c>
      <c r="D48">
        <v>0.94178928037299614</v>
      </c>
      <c r="E48">
        <v>0.88696704862548592</v>
      </c>
      <c r="F48">
        <f>2.464/(2*SIN(表格1[[#This Row],[theta_rad]]/2))</f>
        <v>202.72297014400894</v>
      </c>
      <c r="G48">
        <f>表格1[[#This Row],[Morie Lattice]]/3^0.5</f>
        <v>117.04216138356404</v>
      </c>
      <c r="H48" s="5">
        <v>2.0647047770000002</v>
      </c>
      <c r="I48">
        <f>表格1[[#This Row],[length(BM)]]*2</f>
        <v>4.1294095540000004</v>
      </c>
    </row>
    <row r="49" spans="1:9" x14ac:dyDescent="0.25">
      <c r="A49">
        <v>48</v>
      </c>
      <c r="B49">
        <v>1.190398868847168E-2</v>
      </c>
      <c r="C49">
        <v>0.68204831122089926</v>
      </c>
      <c r="D49">
        <v>0.96161569838953942</v>
      </c>
      <c r="E49">
        <v>0.92470475138920161</v>
      </c>
      <c r="F49">
        <f>2.464/(2*SIN(表格1[[#This Row],[theta_rad]]/2))</f>
        <v>206.99066614713027</v>
      </c>
      <c r="G49">
        <f>表格1[[#This Row],[Morie Lattice]]/3^0.5</f>
        <v>119.50611681978563</v>
      </c>
      <c r="H49" s="5">
        <v>2.1081711859999999</v>
      </c>
      <c r="I49">
        <f>表格1[[#This Row],[length(BM)]]*2</f>
        <v>4.2163423719999997</v>
      </c>
    </row>
    <row r="50" spans="1:9" x14ac:dyDescent="0.25">
      <c r="A50">
        <v>49</v>
      </c>
      <c r="B50">
        <v>1.166350957716698E-2</v>
      </c>
      <c r="C50">
        <v>0.66826987308208341</v>
      </c>
      <c r="D50">
        <v>0.98144213089320942</v>
      </c>
      <c r="E50">
        <v>0.96322865629220356</v>
      </c>
      <c r="F50">
        <f>2.464/(2*SIN(表格1[[#This Row],[theta_rad]]/2))</f>
        <v>211.25836526864921</v>
      </c>
      <c r="G50">
        <f>表格1[[#This Row],[Morie Lattice]]/3^0.5</f>
        <v>121.97007405641492</v>
      </c>
      <c r="H50" s="5">
        <v>2.151637617</v>
      </c>
      <c r="I50">
        <f>表格1[[#This Row],[length(BM)]]*2</f>
        <v>4.303275234</v>
      </c>
    </row>
    <row r="51" spans="1:9" x14ac:dyDescent="0.25">
      <c r="A51">
        <v>50</v>
      </c>
      <c r="B51">
        <v>1.1432554073477539E-2</v>
      </c>
      <c r="C51">
        <v>0.65503709746536032</v>
      </c>
      <c r="D51">
        <v>1.001268577025328</v>
      </c>
      <c r="E51">
        <v>1.002538763338326</v>
      </c>
      <c r="F51">
        <f>2.464/(2*SIN(表格1[[#This Row],[theta_rad]]/2))</f>
        <v>215.52606732373258</v>
      </c>
      <c r="G51">
        <f>表格1[[#This Row],[Morie Lattice]]/3^0.5</f>
        <v>124.43403298673842</v>
      </c>
      <c r="H51" s="5">
        <v>2.195104068</v>
      </c>
      <c r="I51">
        <f>表格1[[#This Row],[length(BM)]]*2</f>
        <v>4.390208136</v>
      </c>
    </row>
    <row r="52" spans="1:9" x14ac:dyDescent="0.25">
      <c r="A52">
        <v>51</v>
      </c>
      <c r="B52">
        <v>1.121056742811494E-2</v>
      </c>
      <c r="C52">
        <v>0.64231819957781577</v>
      </c>
      <c r="D52">
        <v>1.021095035990246</v>
      </c>
      <c r="E52">
        <v>1.0426350725239231</v>
      </c>
      <c r="F52">
        <f>2.464/(2*SIN(表格1[[#This Row],[theta_rad]]/2))</f>
        <v>219.79377214111443</v>
      </c>
      <c r="G52">
        <f>表格1[[#This Row],[Morie Lattice]]/3^0.5</f>
        <v>126.8979935118757</v>
      </c>
      <c r="H52" s="5">
        <v>2.2385705379999998</v>
      </c>
      <c r="I52">
        <f>表格1[[#This Row],[length(BM)]]*2</f>
        <v>4.4771410759999997</v>
      </c>
    </row>
    <row r="53" spans="1:9" x14ac:dyDescent="0.25">
      <c r="A53">
        <v>52</v>
      </c>
      <c r="B53">
        <v>1.0997037156157361E-2</v>
      </c>
      <c r="C53">
        <v>0.630083816196366</v>
      </c>
      <c r="D53">
        <v>1.04092150705548</v>
      </c>
      <c r="E53">
        <v>1.083517583850651</v>
      </c>
      <c r="F53">
        <f>2.464/(2*SIN(表格1[[#This Row],[theta_rad]]/2))</f>
        <v>224.06147956312563</v>
      </c>
      <c r="G53">
        <f>表格1[[#This Row],[Morie Lattice]]/3^0.5</f>
        <v>129.36195554079643</v>
      </c>
      <c r="H53" s="5">
        <v>2.2820370250000002</v>
      </c>
      <c r="I53">
        <f>表格1[[#This Row],[length(BM)]]*2</f>
        <v>4.5640740500000003</v>
      </c>
    </row>
    <row r="54" spans="1:9" x14ac:dyDescent="0.25">
      <c r="A54">
        <v>53</v>
      </c>
      <c r="B54">
        <v>1.079148908739264E-2</v>
      </c>
      <c r="C54">
        <v>0.61830677936908274</v>
      </c>
      <c r="D54">
        <v>1.0607479895421721</v>
      </c>
      <c r="E54">
        <v>1.1251862973177591</v>
      </c>
      <c r="F54">
        <f>2.464/(2*SIN(表格1[[#This Row],[theta_rad]]/2))</f>
        <v>228.32918944363999</v>
      </c>
      <c r="G54">
        <f>表格1[[#This Row],[Morie Lattice]]/3^0.5</f>
        <v>131.82591898913461</v>
      </c>
      <c r="H54" s="5">
        <v>2.3255035290000001</v>
      </c>
      <c r="I54">
        <f>表格1[[#This Row],[length(BM)]]*2</f>
        <v>4.6510070580000002</v>
      </c>
    </row>
    <row r="55" spans="1:9" x14ac:dyDescent="0.25">
      <c r="A55">
        <v>54</v>
      </c>
      <c r="B55">
        <v>1.059348385139474E-2</v>
      </c>
      <c r="C55">
        <v>0.60696191502491104</v>
      </c>
      <c r="D55">
        <v>1.0805744828219299</v>
      </c>
      <c r="E55">
        <v>1.167641212925882</v>
      </c>
      <c r="F55">
        <f>2.464/(2*SIN(表格1[[#This Row],[theta_rad]]/2))</f>
        <v>232.59690164739436</v>
      </c>
      <c r="G55">
        <f>表格1[[#This Row],[Morie Lattice]]/3^0.5</f>
        <v>134.28988377879605</v>
      </c>
      <c r="H55" s="5">
        <v>2.3689700490000001</v>
      </c>
      <c r="I55">
        <f>表格1[[#This Row],[length(BM)]]*2</f>
        <v>4.7379400980000002</v>
      </c>
    </row>
    <row r="56" spans="1:9" x14ac:dyDescent="0.25">
      <c r="A56">
        <v>55</v>
      </c>
      <c r="B56">
        <v>1.040261374258666E-2</v>
      </c>
      <c r="C56">
        <v>0.59602586335500551</v>
      </c>
      <c r="D56">
        <v>1.1004009863123061</v>
      </c>
      <c r="E56">
        <v>1.2108823306770951</v>
      </c>
      <c r="F56">
        <f>2.464/(2*SIN(表格1[[#This Row],[theta_rad]]/2))</f>
        <v>236.86461604901478</v>
      </c>
      <c r="G56">
        <f>表格1[[#This Row],[Morie Lattice]]/3^0.5</f>
        <v>136.75384983739605</v>
      </c>
      <c r="H56" s="5">
        <v>2.4124365829999999</v>
      </c>
      <c r="I56">
        <f>表格1[[#This Row],[length(BM)]]*2</f>
        <v>4.8248731659999997</v>
      </c>
    </row>
    <row r="57" spans="1:9" x14ac:dyDescent="0.25">
      <c r="A57">
        <v>56</v>
      </c>
      <c r="B57">
        <v>1.021849991822665E-2</v>
      </c>
      <c r="C57">
        <v>0.58547691826916382</v>
      </c>
      <c r="D57">
        <v>1.1202274994693291</v>
      </c>
      <c r="E57">
        <v>1.2549096505673061</v>
      </c>
      <c r="F57">
        <f>2.464/(2*SIN(表格1[[#This Row],[theta_rad]]/2))</f>
        <v>241.13233253141004</v>
      </c>
      <c r="G57">
        <f>表格1[[#This Row],[Morie Lattice]]/3^0.5</f>
        <v>139.21781709733196</v>
      </c>
      <c r="H57" s="5">
        <v>2.455903132</v>
      </c>
      <c r="I57">
        <f>表格1[[#This Row],[length(BM)]]*2</f>
        <v>4.911806264</v>
      </c>
    </row>
    <row r="58" spans="1:9" x14ac:dyDescent="0.25">
      <c r="A58">
        <v>57</v>
      </c>
      <c r="B58">
        <v>1.004078988868422E-2</v>
      </c>
      <c r="C58">
        <v>0.57529488359923775</v>
      </c>
      <c r="D58">
        <v>1.1400540217887249</v>
      </c>
      <c r="E58">
        <v>1.2997231725966469</v>
      </c>
      <c r="F58">
        <f>2.464/(2*SIN(表格1[[#This Row],[theta_rad]]/2))</f>
        <v>245.40005098603368</v>
      </c>
      <c r="G58">
        <f>表格1[[#This Row],[Morie Lattice]]/3^0.5</f>
        <v>141.68178549593443</v>
      </c>
      <c r="H58" s="5">
        <v>2.4993696939999999</v>
      </c>
      <c r="I58">
        <f>表格1[[#This Row],[length(BM)]]*2</f>
        <v>4.9987393879999997</v>
      </c>
    </row>
    <row r="59" spans="1:9" x14ac:dyDescent="0.25">
      <c r="A59">
        <v>58</v>
      </c>
      <c r="B59">
        <v>9.8691552651518702E-3</v>
      </c>
      <c r="C59">
        <v>0.56546094405251701</v>
      </c>
      <c r="D59">
        <v>1.159880552802917</v>
      </c>
      <c r="E59">
        <v>1.345322896770401</v>
      </c>
      <c r="F59">
        <f>2.464/(2*SIN(表格1[[#This Row],[theta_rad]]/2))</f>
        <v>249.66777131223807</v>
      </c>
      <c r="G59">
        <f>表格1[[#This Row],[Morie Lattice]]/3^0.5</f>
        <v>144.14575497509458</v>
      </c>
      <c r="H59" s="5">
        <v>2.5428362689999999</v>
      </c>
      <c r="I59">
        <f>表格1[[#This Row],[length(BM)]]*2</f>
        <v>5.0856725379999999</v>
      </c>
    </row>
    <row r="60" spans="1:9" x14ac:dyDescent="0.25">
      <c r="A60">
        <v>59</v>
      </c>
      <c r="B60">
        <v>9.7032897345207328E-3</v>
      </c>
      <c r="C60">
        <v>0.55595754918065499</v>
      </c>
      <c r="D60">
        <v>1.17970709207159</v>
      </c>
      <c r="E60">
        <v>1.391708823084008</v>
      </c>
      <c r="F60">
        <f>2.464/(2*SIN(表格1[[#This Row],[theta_rad]]/2))</f>
        <v>253.93549341524434</v>
      </c>
      <c r="G60">
        <f>表格1[[#This Row],[Morie Lattice]]/3^0.5</f>
        <v>146.60972548009175</v>
      </c>
      <c r="H60" s="5">
        <v>2.5863028560000001</v>
      </c>
      <c r="I60">
        <f>表格1[[#This Row],[length(BM)]]*2</f>
        <v>5.1726057120000002</v>
      </c>
    </row>
    <row r="61" spans="1:9" x14ac:dyDescent="0.25">
      <c r="A61">
        <v>60</v>
      </c>
      <c r="B61">
        <v>9.5429072349718369E-3</v>
      </c>
      <c r="C61">
        <v>0.5467683088487445</v>
      </c>
      <c r="D61">
        <v>1.199533639185943</v>
      </c>
      <c r="E61">
        <v>1.4388809515386709</v>
      </c>
      <c r="F61">
        <f>2.464/(2*SIN(表格1[[#This Row],[theta_rad]]/2))</f>
        <v>258.20321720705664</v>
      </c>
      <c r="G61">
        <f>表格1[[#This Row],[Morie Lattice]]/3^0.5</f>
        <v>149.07369696012157</v>
      </c>
      <c r="H61" s="5">
        <v>2.6297694549999999</v>
      </c>
      <c r="I61">
        <f>表格1[[#This Row],[length(BM)]]*2</f>
        <v>5.2595389099999998</v>
      </c>
    </row>
    <row r="62" spans="1:9" x14ac:dyDescent="0.25">
      <c r="A62">
        <v>61</v>
      </c>
      <c r="B62">
        <v>9.3877403096346533E-3</v>
      </c>
      <c r="C62">
        <v>0.5378778989069023</v>
      </c>
      <c r="D62">
        <v>1.2193601937627601</v>
      </c>
      <c r="E62">
        <v>1.486839282133156</v>
      </c>
      <c r="F62">
        <f>2.464/(2*SIN(表格1[[#This Row],[theta_rad]]/2))</f>
        <v>262.47094260518702</v>
      </c>
      <c r="G62">
        <f>表格1[[#This Row],[Morie Lattice]]/3^0.5</f>
        <v>151.53766936755954</v>
      </c>
      <c r="H62" s="5">
        <v>2.6732360640000001</v>
      </c>
      <c r="I62">
        <f>表格1[[#This Row],[length(BM)]]*2</f>
        <v>5.3464721280000003</v>
      </c>
    </row>
    <row r="63" spans="1:9" x14ac:dyDescent="0.25">
      <c r="A63">
        <v>62</v>
      </c>
      <c r="B63">
        <v>9.2375386182410816E-3</v>
      </c>
      <c r="C63">
        <v>0.52927197591432418</v>
      </c>
      <c r="D63">
        <v>1.2391867554443901</v>
      </c>
      <c r="E63">
        <v>1.535583814868795</v>
      </c>
      <c r="F63">
        <f>2.464/(2*SIN(表格1[[#This Row],[theta_rad]]/2))</f>
        <v>266.73866953264957</v>
      </c>
      <c r="G63">
        <f>表格1[[#This Row],[Morie Lattice]]/3^0.5</f>
        <v>154.00164265795786</v>
      </c>
      <c r="H63" s="5">
        <v>2.7167026839999999</v>
      </c>
      <c r="I63">
        <f>表格1[[#This Row],[length(BM)]]*2</f>
        <v>5.4334053679999998</v>
      </c>
    </row>
    <row r="64" spans="1:9" x14ac:dyDescent="0.25">
      <c r="A64">
        <v>63</v>
      </c>
      <c r="B64">
        <v>9.0920675894344775E-3</v>
      </c>
      <c r="C64">
        <v>0.52093709992227977</v>
      </c>
      <c r="D64">
        <v>1.2590133238948289</v>
      </c>
      <c r="E64">
        <v>1.585114549744705</v>
      </c>
      <c r="F64">
        <f>2.464/(2*SIN(表格1[[#This Row],[theta_rad]]/2))</f>
        <v>271.00639791711848</v>
      </c>
      <c r="G64">
        <f>表格1[[#This Row],[Morie Lattice]]/3^0.5</f>
        <v>156.46561678955919</v>
      </c>
      <c r="H64" s="5">
        <v>2.760169313</v>
      </c>
      <c r="I64">
        <f>表格1[[#This Row],[length(BM)]]*2</f>
        <v>5.520338626</v>
      </c>
    </row>
    <row r="65" spans="1:9" s="3" customFormat="1" ht="16.5" x14ac:dyDescent="0.25">
      <c r="A65" s="3">
        <v>64</v>
      </c>
      <c r="B65" s="3">
        <v>8.9511071984136742E-3</v>
      </c>
      <c r="C65" s="3">
        <v>0.51286066443827394</v>
      </c>
      <c r="D65" s="3">
        <v>1.2788398987994309</v>
      </c>
      <c r="E65" s="3">
        <v>1.635431486761338</v>
      </c>
      <c r="F65" s="3">
        <f>2.464/(2*SIN(表格1[[#This Row],[theta_rad]]/2))</f>
        <v>275.2741276908655</v>
      </c>
      <c r="G65" s="3">
        <f>表格1[[#This Row],[Morie Lattice]]/3^0.5</f>
        <v>158.92959172326061</v>
      </c>
      <c r="H65" s="6">
        <v>2.803635952</v>
      </c>
      <c r="I65" s="3">
        <f>表格1[[#This Row],[length(BM)]]*2</f>
        <v>5.6072719040000001</v>
      </c>
    </row>
    <row r="66" spans="1:9" x14ac:dyDescent="0.25">
      <c r="A66">
        <v>65</v>
      </c>
      <c r="B66">
        <v>8.814450856556395E-3</v>
      </c>
      <c r="C66">
        <v>0.50503083280615479</v>
      </c>
      <c r="D66">
        <v>1.298666479862979</v>
      </c>
      <c r="E66">
        <v>1.686534625919702</v>
      </c>
      <c r="F66">
        <f>2.464/(2*SIN(表格1[[#This Row],[theta_rad]]/2))</f>
        <v>279.54185879034424</v>
      </c>
      <c r="G66">
        <f>表格1[[#This Row],[Morie Lattice]]/3^0.5</f>
        <v>161.39356742237359</v>
      </c>
      <c r="H66" s="5">
        <v>2.8471025999999999</v>
      </c>
      <c r="I66">
        <f>表格1[[#This Row],[length(BM)]]*2</f>
        <v>5.6942051999999999</v>
      </c>
    </row>
    <row r="67" spans="1:9" x14ac:dyDescent="0.25">
      <c r="A67">
        <v>66</v>
      </c>
      <c r="B67">
        <v>8.681904401227335E-3</v>
      </c>
      <c r="C67">
        <v>0.49743648032638038</v>
      </c>
      <c r="D67">
        <v>1.318493066807114</v>
      </c>
      <c r="E67">
        <v>1.7384239672184281</v>
      </c>
      <c r="F67">
        <f>2.464/(2*SIN(表格1[[#This Row],[theta_rad]]/2))</f>
        <v>283.80959115563672</v>
      </c>
      <c r="G67">
        <f>表格1[[#This Row],[Morie Lattice]]/3^0.5</f>
        <v>163.8575438523045</v>
      </c>
      <c r="H67" s="5">
        <v>2.8905692570000001</v>
      </c>
      <c r="I67">
        <f>表格1[[#This Row],[length(BM)]]*2</f>
        <v>5.7811385140000002</v>
      </c>
    </row>
    <row r="68" spans="1:9" x14ac:dyDescent="0.25">
      <c r="A68">
        <v>67</v>
      </c>
      <c r="B68">
        <v>8.5532851753516177E-3</v>
      </c>
      <c r="C68">
        <v>0.49006714151946201</v>
      </c>
      <c r="D68">
        <v>1.3383196593717679</v>
      </c>
      <c r="E68">
        <v>1.791099510660964</v>
      </c>
      <c r="F68">
        <f>2.464/(2*SIN(表格1[[#This Row],[theta_rad]]/2))</f>
        <v>288.07732473076294</v>
      </c>
      <c r="G68">
        <f>表格1[[#This Row],[Morie Lattice]]/3^0.5</f>
        <v>166.32152098073323</v>
      </c>
      <c r="H68" s="5">
        <v>2.9340359220000001</v>
      </c>
      <c r="I68">
        <f>表格1[[#This Row],[length(BM)]]*2</f>
        <v>5.8680718440000001</v>
      </c>
    </row>
    <row r="69" spans="1:9" x14ac:dyDescent="0.25">
      <c r="A69">
        <v>68</v>
      </c>
      <c r="B69">
        <v>8.4284211876513859E-3</v>
      </c>
      <c r="C69">
        <v>0.48291296201106532</v>
      </c>
      <c r="D69">
        <v>1.3581462573096661</v>
      </c>
      <c r="E69">
        <v>1.8445612562442539</v>
      </c>
      <c r="F69">
        <f>2.464/(2*SIN(表格1[[#This Row],[theta_rad]]/2))</f>
        <v>292.34505946249612</v>
      </c>
      <c r="G69">
        <f>表格1[[#This Row],[Morie Lattice]]/3^0.5</f>
        <v>168.7854987769293</v>
      </c>
      <c r="H69" s="5">
        <v>2.9775025949999998</v>
      </c>
      <c r="I69">
        <f>表格1[[#This Row],[length(BM)]]*2</f>
        <v>5.9550051899999996</v>
      </c>
    </row>
    <row r="70" spans="1:9" x14ac:dyDescent="0.25">
      <c r="A70">
        <v>69</v>
      </c>
      <c r="B70">
        <v>8.3071503453361166E-3</v>
      </c>
      <c r="C70">
        <v>0.47596465456840381</v>
      </c>
      <c r="D70">
        <v>1.377972860387304</v>
      </c>
      <c r="E70">
        <v>1.8988092039639679</v>
      </c>
      <c r="F70">
        <f>2.464/(2*SIN(表格1[[#This Row],[theta_rad]]/2))</f>
        <v>296.61279530057362</v>
      </c>
      <c r="G70">
        <f>表格1[[#This Row],[Morie Lattice]]/3^0.5</f>
        <v>171.24947721187357</v>
      </c>
      <c r="H70" s="5">
        <v>3.0209692750000001</v>
      </c>
      <c r="I70">
        <f>表格1[[#This Row],[length(BM)]]*2</f>
        <v>6.0419385500000002</v>
      </c>
    </row>
    <row r="71" spans="1:9" x14ac:dyDescent="0.25">
      <c r="A71">
        <v>70</v>
      </c>
      <c r="B71">
        <v>8.1893197520876253E-3</v>
      </c>
      <c r="C71">
        <v>0.46921345887774257</v>
      </c>
      <c r="D71">
        <v>1.39779946838717</v>
      </c>
      <c r="E71">
        <v>1.9538433538234561</v>
      </c>
      <c r="F71">
        <f>2.464/(2*SIN(表格1[[#This Row],[theta_rad]]/2))</f>
        <v>300.88053219817562</v>
      </c>
      <c r="G71">
        <f>表格1[[#This Row],[Morie Lattice]]/3^0.5</f>
        <v>173.71345625853456</v>
      </c>
      <c r="H71" s="5">
        <v>3.0644359620000001</v>
      </c>
      <c r="I71">
        <f>表格1[[#This Row],[length(BM)]]*2</f>
        <v>6.1288719240000002</v>
      </c>
    </row>
    <row r="72" spans="1:9" x14ac:dyDescent="0.25">
      <c r="A72">
        <v>71</v>
      </c>
      <c r="B72">
        <v>8.0747850649829575E-3</v>
      </c>
      <c r="C72">
        <v>0.46265110469879372</v>
      </c>
      <c r="D72">
        <v>1.4176260811050829</v>
      </c>
      <c r="E72">
        <v>2.0096637058293561</v>
      </c>
      <c r="F72">
        <f>2.464/(2*SIN(表格1[[#This Row],[theta_rad]]/2))</f>
        <v>305.14827011135134</v>
      </c>
      <c r="G72">
        <f>表格1[[#This Row],[Morie Lattice]]/3^0.5</f>
        <v>176.17743589153733</v>
      </c>
      <c r="H72" s="5">
        <v>3.1079026569999999</v>
      </c>
      <c r="I72">
        <f>表格1[[#This Row],[length(BM)]]*2</f>
        <v>6.2158053139999998</v>
      </c>
    </row>
    <row r="73" spans="1:9" x14ac:dyDescent="0.25">
      <c r="A73">
        <v>72</v>
      </c>
      <c r="B73">
        <v>7.9634099046617078E-3</v>
      </c>
      <c r="C73">
        <v>0.45626977806979307</v>
      </c>
      <c r="D73">
        <v>1.4374526983426921</v>
      </c>
      <c r="E73">
        <v>2.0662702599726872</v>
      </c>
      <c r="F73">
        <f>2.464/(2*SIN(表格1[[#This Row],[theta_rad]]/2))</f>
        <v>309.41600899740519</v>
      </c>
      <c r="G73">
        <f>表格1[[#This Row],[Morie Lattice]]/3^0.5</f>
        <v>178.64141608623157</v>
      </c>
      <c r="H73" s="5">
        <v>3.1513693580000002</v>
      </c>
      <c r="I73">
        <f>表格1[[#This Row],[length(BM)]]*2</f>
        <v>6.3027387160000004</v>
      </c>
    </row>
    <row r="74" spans="1:9" x14ac:dyDescent="0.25">
      <c r="A74">
        <v>73</v>
      </c>
      <c r="B74">
        <v>7.8550653135394544E-3</v>
      </c>
      <c r="C74">
        <v>0.45006209026541738</v>
      </c>
      <c r="D74">
        <v>1.457279319918356</v>
      </c>
      <c r="E74">
        <v>2.1236630162617049</v>
      </c>
      <c r="F74">
        <f>2.464/(2*SIN(表格1[[#This Row],[theta_rad]]/2))</f>
        <v>313.68374881723827</v>
      </c>
      <c r="G74">
        <f>表格1[[#This Row],[Morie Lattice]]/3^0.5</f>
        <v>181.10539682004347</v>
      </c>
      <c r="H74" s="5">
        <v>3.1948360650000001</v>
      </c>
      <c r="I74">
        <f>表格1[[#This Row],[length(BM)]]*2</f>
        <v>6.3896721300000001</v>
      </c>
    </row>
    <row r="75" spans="1:9" x14ac:dyDescent="0.25">
      <c r="A75">
        <v>74</v>
      </c>
      <c r="B75">
        <v>7.7496292577872196E-3</v>
      </c>
      <c r="C75">
        <v>0.44402104926230829</v>
      </c>
      <c r="D75">
        <v>1.4771059456535589</v>
      </c>
      <c r="E75">
        <v>2.1818419746850961</v>
      </c>
      <c r="F75">
        <f>2.464/(2*SIN(表格1[[#This Row],[theta_rad]]/2))</f>
        <v>317.95148953242489</v>
      </c>
      <c r="G75">
        <f>表格1[[#This Row],[Morie Lattice]]/3^0.5</f>
        <v>183.56937807078799</v>
      </c>
      <c r="H75" s="5">
        <v>3.238302778</v>
      </c>
      <c r="I75">
        <f>表格1[[#This Row],[length(BM)]]*2</f>
        <v>6.476605556</v>
      </c>
    </row>
    <row r="76" spans="1:9" x14ac:dyDescent="0.25">
      <c r="A76">
        <v>75</v>
      </c>
      <c r="B76">
        <v>7.6469861687362278E-3</v>
      </c>
      <c r="C76">
        <v>0.43814003346350111</v>
      </c>
      <c r="D76">
        <v>1.4969325753878999</v>
      </c>
      <c r="E76">
        <v>2.2408071352574508</v>
      </c>
      <c r="F76">
        <f>2.464/(2*SIN(表格1[[#This Row],[theta_rad]]/2))</f>
        <v>322.21923110843778</v>
      </c>
      <c r="G76">
        <f>表格1[[#This Row],[Morie Lattice]]/3^0.5</f>
        <v>186.03335981853081</v>
      </c>
      <c r="H76" s="5">
        <v>3.281769497</v>
      </c>
      <c r="I76">
        <f>表格1[[#This Row],[length(BM)]]*2</f>
        <v>6.563538994</v>
      </c>
    </row>
    <row r="77" spans="1:9" x14ac:dyDescent="0.25">
      <c r="A77">
        <v>76</v>
      </c>
      <c r="B77">
        <v>7.5470265204238716E-3</v>
      </c>
      <c r="C77">
        <v>0.43241276749359098</v>
      </c>
      <c r="D77">
        <v>1.516759208960389</v>
      </c>
      <c r="E77">
        <v>2.3005584979661462</v>
      </c>
      <c r="F77">
        <f>2.464/(2*SIN(表格1[[#This Row],[theta_rad]]/2))</f>
        <v>326.48697351062361</v>
      </c>
      <c r="G77">
        <f>表格1[[#This Row],[Morie Lattice]]/3^0.5</f>
        <v>188.49734204326478</v>
      </c>
      <c r="H77" s="5">
        <v>3.325236222</v>
      </c>
      <c r="I77">
        <f>表格1[[#This Row],[length(BM)]]*2</f>
        <v>6.650472444</v>
      </c>
    </row>
    <row r="78" spans="1:9" x14ac:dyDescent="0.25">
      <c r="A78">
        <v>77</v>
      </c>
      <c r="B78">
        <v>7.4496464396748207E-3</v>
      </c>
      <c r="C78">
        <v>0.42683329985802732</v>
      </c>
      <c r="D78">
        <v>1.5365858462243751</v>
      </c>
      <c r="E78">
        <v>2.3610960628170781</v>
      </c>
      <c r="F78">
        <f>2.464/(2*SIN(表格1[[#This Row],[theta_rad]]/2))</f>
        <v>330.75471670741513</v>
      </c>
      <c r="G78">
        <f>表格1[[#This Row],[Morie Lattice]]/3^0.5</f>
        <v>190.96132472676456</v>
      </c>
      <c r="H78" s="5">
        <v>3.368702952</v>
      </c>
      <c r="I78">
        <f>表格1[[#This Row],[length(BM)]]*2</f>
        <v>6.7374059040000001</v>
      </c>
    </row>
    <row r="79" spans="1:9" x14ac:dyDescent="0.25">
      <c r="A79">
        <v>78</v>
      </c>
      <c r="B79">
        <v>7.3547473461116359E-3</v>
      </c>
      <c r="C79">
        <v>0.42139598231723963</v>
      </c>
      <c r="D79">
        <v>1.5564124870367171</v>
      </c>
      <c r="E79">
        <v>2.4224198298038182</v>
      </c>
      <c r="F79">
        <f>2.464/(2*SIN(表格1[[#This Row],[theta_rad]]/2))</f>
        <v>335.02246066800097</v>
      </c>
      <c r="G79">
        <f>表格1[[#This Row],[Morie Lattice]]/3^0.5</f>
        <v>193.42530785124117</v>
      </c>
      <c r="H79" s="5">
        <v>3.4121696880000001</v>
      </c>
      <c r="I79">
        <f>表格1[[#This Row],[length(BM)]]*2</f>
        <v>6.8243393760000002</v>
      </c>
    </row>
    <row r="80" spans="1:9" x14ac:dyDescent="0.25">
      <c r="A80">
        <v>79</v>
      </c>
      <c r="B80">
        <v>7.2622356192493581E-3</v>
      </c>
      <c r="C80">
        <v>0.4160954508125641</v>
      </c>
      <c r="D80">
        <v>1.576239131264447</v>
      </c>
      <c r="E80">
        <v>2.4845297989292989</v>
      </c>
      <c r="F80">
        <f>2.464/(2*SIN(表格1[[#This Row],[theta_rad]]/2))</f>
        <v>339.29020536375958</v>
      </c>
      <c r="G80">
        <f>表格1[[#This Row],[Morie Lattice]]/3^0.5</f>
        <v>195.88929140017001</v>
      </c>
      <c r="H80" s="5">
        <v>3.455636428</v>
      </c>
      <c r="I80">
        <f>表格1[[#This Row],[length(BM)]]*2</f>
        <v>6.9112728560000001</v>
      </c>
    </row>
    <row r="81" spans="1:9" x14ac:dyDescent="0.25">
      <c r="A81">
        <v>80</v>
      </c>
      <c r="B81">
        <v>7.172022290439682E-3</v>
      </c>
      <c r="C81">
        <v>0.4109266078159437</v>
      </c>
      <c r="D81">
        <v>1.5960657787836761</v>
      </c>
      <c r="E81">
        <v>2.5474259702043418</v>
      </c>
      <c r="F81">
        <f>2.464/(2*SIN(表格1[[#This Row],[theta_rad]]/2))</f>
        <v>343.55795076802298</v>
      </c>
      <c r="G81">
        <f>表格1[[#This Row],[Morie Lattice]]/3^0.5</f>
        <v>198.35327535815426</v>
      </c>
      <c r="H81" s="5">
        <v>3.499103173</v>
      </c>
      <c r="I81">
        <f>表格1[[#This Row],[length(BM)]]*2</f>
        <v>6.9982063459999999</v>
      </c>
    </row>
    <row r="82" spans="1:9" x14ac:dyDescent="0.25">
      <c r="A82">
        <v>81</v>
      </c>
      <c r="B82">
        <v>7.0840227575331774E-3</v>
      </c>
      <c r="C82">
        <v>0.40588460598127829</v>
      </c>
      <c r="D82">
        <v>1.6158924294693839</v>
      </c>
      <c r="E82">
        <v>2.6111083436164688</v>
      </c>
      <c r="F82">
        <f>2.464/(2*SIN(表格1[[#This Row],[theta_rad]]/2))</f>
        <v>347.82569685388063</v>
      </c>
      <c r="G82">
        <f>表格1[[#This Row],[Morie Lattice]]/3^0.5</f>
        <v>200.81725970965715</v>
      </c>
      <c r="H82" s="5">
        <v>3.5425699229999998</v>
      </c>
      <c r="I82">
        <f>表格1[[#This Row],[length(BM)]]*2</f>
        <v>7.0851398459999997</v>
      </c>
    </row>
    <row r="83" spans="1:9" x14ac:dyDescent="0.25">
      <c r="A83">
        <v>82</v>
      </c>
      <c r="B83">
        <v>6.9981565201968163E-3</v>
      </c>
      <c r="C83">
        <v>0.40096483297923619</v>
      </c>
      <c r="D83">
        <v>1.6357190832069419</v>
      </c>
      <c r="E83">
        <v>2.67557691916736</v>
      </c>
      <c r="F83">
        <f>2.464/(2*SIN(表格1[[#This Row],[theta_rad]]/2))</f>
        <v>352.09344359665806</v>
      </c>
      <c r="G83">
        <f>表格1[[#This Row],[Morie Lattice]]/3^0.5</f>
        <v>203.28124444043286</v>
      </c>
      <c r="H83" s="5">
        <v>3.5860366770000001</v>
      </c>
      <c r="I83">
        <f>表格1[[#This Row],[length(BM)]]*2</f>
        <v>7.1720733540000001</v>
      </c>
    </row>
    <row r="84" spans="1:9" x14ac:dyDescent="0.25">
      <c r="A84">
        <v>83</v>
      </c>
      <c r="B84">
        <v>6.9143469343107304E-3</v>
      </c>
      <c r="C84">
        <v>0.39616289742522431</v>
      </c>
      <c r="D84">
        <v>1.655545739890018</v>
      </c>
      <c r="E84">
        <v>2.7408316968679891</v>
      </c>
      <c r="F84">
        <f>2.464/(2*SIN(表格1[[#This Row],[theta_rad]]/2))</f>
        <v>356.3611909734671</v>
      </c>
      <c r="G84">
        <f>表格1[[#This Row],[Morie Lattice]]/3^0.5</f>
        <v>205.74522953726688</v>
      </c>
      <c r="H84" s="5">
        <v>3.6295034359999998</v>
      </c>
      <c r="I84">
        <f>表格1[[#This Row],[length(BM)]]*2</f>
        <v>7.2590068719999996</v>
      </c>
    </row>
    <row r="85" spans="1:9" x14ac:dyDescent="0.25">
      <c r="A85">
        <v>84</v>
      </c>
      <c r="B85">
        <v>6.832520983839188E-3</v>
      </c>
      <c r="C85">
        <v>0.39147461580855841</v>
      </c>
      <c r="D85">
        <v>1.675372399409683</v>
      </c>
      <c r="E85">
        <v>2.8068726767037582</v>
      </c>
      <c r="F85">
        <f>2.464/(2*SIN(表格1[[#This Row],[theta_rad]]/2))</f>
        <v>360.62893896086035</v>
      </c>
      <c r="G85">
        <f>表格1[[#This Row],[Morie Lattice]]/3^0.5</f>
        <v>208.20921498662184</v>
      </c>
      <c r="H85" s="5">
        <v>3.6729701989999999</v>
      </c>
      <c r="I85">
        <f>表格1[[#This Row],[length(BM)]]*2</f>
        <v>7.3459403979999998</v>
      </c>
    </row>
    <row r="86" spans="1:9" x14ac:dyDescent="0.25">
      <c r="A86">
        <v>85</v>
      </c>
      <c r="B86">
        <v>6.7526090686103732E-3</v>
      </c>
      <c r="C86">
        <v>0.38689600033314009</v>
      </c>
      <c r="D86">
        <v>1.695199061667829</v>
      </c>
      <c r="E86">
        <v>2.8736998586794891</v>
      </c>
      <c r="F86">
        <f>2.464/(2*SIN(表格1[[#This Row],[theta_rad]]/2))</f>
        <v>364.89668753772003</v>
      </c>
      <c r="G86">
        <f>表格1[[#This Row],[Morie Lattice]]/3^0.5</f>
        <v>210.67320077630544</v>
      </c>
      <c r="H86" s="5">
        <v>3.7164369650000002</v>
      </c>
      <c r="I86">
        <f>表格1[[#This Row],[length(BM)]]*2</f>
        <v>7.4328739300000004</v>
      </c>
    </row>
    <row r="87" spans="1:9" x14ac:dyDescent="0.25">
      <c r="A87">
        <v>86</v>
      </c>
      <c r="B87">
        <v>6.6745448068994753E-3</v>
      </c>
      <c r="C87">
        <v>0.38242324760630098</v>
      </c>
      <c r="D87">
        <v>1.7150257265702249</v>
      </c>
      <c r="E87">
        <v>2.9413132427977291</v>
      </c>
      <c r="F87">
        <f>2.464/(2*SIN(表格1[[#This Row],[theta_rad]]/2))</f>
        <v>369.1644366837624</v>
      </c>
      <c r="G87">
        <f>表格1[[#This Row],[Morie Lattice]]/3^0.5</f>
        <v>213.1371868946068</v>
      </c>
      <c r="H87" s="5">
        <v>3.7599037360000001</v>
      </c>
      <c r="I87">
        <f>表格1[[#This Row],[length(BM)]]*2</f>
        <v>7.5198074720000001</v>
      </c>
    </row>
    <row r="88" spans="1:9" x14ac:dyDescent="0.25">
      <c r="A88">
        <v>87</v>
      </c>
      <c r="B88">
        <v>6.5982648515230408E-3</v>
      </c>
      <c r="C88">
        <v>0.37805272810178497</v>
      </c>
      <c r="D88">
        <v>1.734852394025814</v>
      </c>
      <c r="E88">
        <v>3.0097128290570989</v>
      </c>
      <c r="F88">
        <f>2.464/(2*SIN(表格1[[#This Row],[theta_rad]]/2))</f>
        <v>373.43218637938719</v>
      </c>
      <c r="G88">
        <f>表格1[[#This Row],[Morie Lattice]]/3^0.5</f>
        <v>215.60117333020972</v>
      </c>
      <c r="H88" s="5">
        <v>3.8033705100000001</v>
      </c>
      <c r="I88">
        <f>表格1[[#This Row],[length(BM)]]*2</f>
        <v>7.6067410200000003</v>
      </c>
    </row>
    <row r="89" spans="1:9" x14ac:dyDescent="0.25">
      <c r="A89">
        <v>88</v>
      </c>
      <c r="B89">
        <v>6.5237087183923834E-3</v>
      </c>
      <c r="C89">
        <v>0.37378097633658292</v>
      </c>
      <c r="D89">
        <v>1.7546790639483709</v>
      </c>
      <c r="E89">
        <v>3.0788986174587309</v>
      </c>
      <c r="F89">
        <f>2.464/(2*SIN(表格1[[#This Row],[theta_rad]]/2))</f>
        <v>377.69993660603421</v>
      </c>
      <c r="G89">
        <f>表格1[[#This Row],[Morie Lattice]]/3^0.5</f>
        <v>218.06516007239844</v>
      </c>
      <c r="H89" s="5">
        <v>3.8468372880000001</v>
      </c>
      <c r="I89">
        <f>表格1[[#This Row],[length(BM)]]*2</f>
        <v>7.6936745760000003</v>
      </c>
    </row>
    <row r="90" spans="1:9" x14ac:dyDescent="0.25">
      <c r="A90">
        <v>89</v>
      </c>
      <c r="B90">
        <v>6.450818626584926E-3</v>
      </c>
      <c r="C90">
        <v>0.36960468170769439</v>
      </c>
      <c r="D90">
        <v>1.7745057362515451</v>
      </c>
      <c r="E90">
        <v>3.148870607989636</v>
      </c>
      <c r="F90">
        <f>2.464/(2*SIN(表格1[[#This Row],[theta_rad]]/2))</f>
        <v>381.96768734511625</v>
      </c>
      <c r="G90">
        <f>表格1[[#This Row],[Morie Lattice]]/3^0.5</f>
        <v>220.5291471104417</v>
      </c>
      <c r="H90" s="5">
        <v>3.89030407</v>
      </c>
      <c r="I90">
        <f>表格1[[#This Row],[length(BM)]]*2</f>
        <v>7.78060814</v>
      </c>
    </row>
    <row r="91" spans="1:9" x14ac:dyDescent="0.25">
      <c r="A91">
        <v>90</v>
      </c>
      <c r="B91">
        <v>6.37953934895395E-3</v>
      </c>
      <c r="C91">
        <v>0.36552067993269832</v>
      </c>
      <c r="D91">
        <v>1.794332410861694</v>
      </c>
      <c r="E91">
        <v>3.2196288006687399</v>
      </c>
      <c r="F91">
        <f>2.464/(2*SIN(表格1[[#This Row],[theta_rad]]/2))</f>
        <v>386.2354385807817</v>
      </c>
      <c r="G91">
        <f>表格1[[#This Row],[Morie Lattice]]/3^0.5</f>
        <v>222.9931344351875</v>
      </c>
      <c r="H91" s="5">
        <v>3.933770854</v>
      </c>
      <c r="I91">
        <f>表格1[[#This Row],[length(BM)]]*2</f>
        <v>7.8675417080000001</v>
      </c>
    </row>
    <row r="92" spans="1:9" s="3" customFormat="1" ht="16.5" x14ac:dyDescent="0.25">
      <c r="A92" s="3">
        <v>91</v>
      </c>
      <c r="B92" s="3">
        <v>6.3098180726341088E-3</v>
      </c>
      <c r="C92" s="3">
        <v>0.36152594505730601</v>
      </c>
      <c r="D92" s="3">
        <v>1.814159087702885</v>
      </c>
      <c r="E92" s="3">
        <v>3.291173195494963</v>
      </c>
      <c r="F92" s="3">
        <f>2.464/(2*SIN(表格1[[#This Row],[theta_rad]]/2))</f>
        <v>390.50319029668537</v>
      </c>
      <c r="G92" s="3">
        <f>表格1[[#This Row],[Morie Lattice]]/3^0.5</f>
        <v>225.45712203719896</v>
      </c>
      <c r="H92" s="6">
        <v>3.977237642</v>
      </c>
      <c r="I92" s="3">
        <f>表格1[[#This Row],[length(BM)]]*2</f>
        <v>7.9544752839999999</v>
      </c>
    </row>
    <row r="93" spans="1:9" x14ac:dyDescent="0.25">
      <c r="A93">
        <v>92</v>
      </c>
      <c r="B93">
        <v>6.2416042685196418E-3</v>
      </c>
      <c r="C93">
        <v>0.35761758197701488</v>
      </c>
      <c r="D93">
        <v>1.833985766703047</v>
      </c>
      <c r="E93">
        <v>3.3635037924693618</v>
      </c>
      <c r="F93">
        <f>2.464/(2*SIN(表格1[[#This Row],[theta_rad]]/2))</f>
        <v>394.77094247731418</v>
      </c>
      <c r="G93">
        <f>表格1[[#This Row],[Morie Lattice]]/3^0.5</f>
        <v>227.92110990751962</v>
      </c>
      <c r="H93" s="5">
        <v>4.0207044339999998</v>
      </c>
      <c r="I93">
        <f>表格1[[#This Row],[length(BM)]]*2</f>
        <v>8.0414088679999995</v>
      </c>
    </row>
    <row r="94" spans="1:9" x14ac:dyDescent="0.25">
      <c r="A94">
        <v>93</v>
      </c>
      <c r="B94">
        <v>6.1748495691701256E-3</v>
      </c>
      <c r="C94">
        <v>0.35379281944162289</v>
      </c>
      <c r="D94">
        <v>1.853812447784966</v>
      </c>
      <c r="E94">
        <v>3.4366205915624861</v>
      </c>
      <c r="F94">
        <f>2.464/(2*SIN(表格1[[#This Row],[theta_rad]]/2))</f>
        <v>399.03869510604744</v>
      </c>
      <c r="G94">
        <f>表格1[[#This Row],[Morie Lattice]]/3^0.5</f>
        <v>230.3850980365535</v>
      </c>
      <c r="H94" s="5">
        <v>4.0641712280000002</v>
      </c>
      <c r="I94">
        <f>表格1[[#This Row],[length(BM)]]*2</f>
        <v>8.1283424560000004</v>
      </c>
    </row>
    <row r="95" spans="1:9" x14ac:dyDescent="0.25">
      <c r="A95">
        <v>94</v>
      </c>
      <c r="B95">
        <v>6.1095076543617689E-3</v>
      </c>
      <c r="C95">
        <v>0.35004900349780071</v>
      </c>
      <c r="D95">
        <v>1.8736391308893141</v>
      </c>
      <c r="E95">
        <v>3.5105235927996641</v>
      </c>
      <c r="F95">
        <f>2.464/(2*SIN(表格1[[#This Row],[theta_rad]]/2))</f>
        <v>403.30644817011461</v>
      </c>
      <c r="G95">
        <f>表格1[[#This Row],[Morie Lattice]]/3^0.5</f>
        <v>232.84908641692752</v>
      </c>
      <c r="H95" s="5">
        <v>4.107638025</v>
      </c>
      <c r="I95">
        <f>表格1[[#This Row],[length(BM)]]*2</f>
        <v>8.2152760499999999</v>
      </c>
    </row>
    <row r="96" spans="1:9" x14ac:dyDescent="0.25">
      <c r="A96">
        <v>95</v>
      </c>
      <c r="B96">
        <v>6.0455341439753854E-3</v>
      </c>
      <c r="C96">
        <v>0.34638359135202451</v>
      </c>
      <c r="D96">
        <v>1.8934658159533571</v>
      </c>
      <c r="E96">
        <v>3.5852127961839129</v>
      </c>
      <c r="F96">
        <f>2.464/(2*SIN(表格1[[#This Row],[theta_rad]]/2))</f>
        <v>407.57420165601206</v>
      </c>
      <c r="G96">
        <f>表格1[[#This Row],[Morie Lattice]]/3^0.5</f>
        <v>235.3130750408454</v>
      </c>
      <c r="H96" s="5">
        <v>4.151104825</v>
      </c>
      <c r="I96">
        <f>表格1[[#This Row],[length(BM)]]*2</f>
        <v>8.30220965</v>
      </c>
    </row>
    <row r="97" spans="1:9" x14ac:dyDescent="0.25">
      <c r="A97">
        <v>96</v>
      </c>
      <c r="B97">
        <v>5.9828864974449496E-3</v>
      </c>
      <c r="C97">
        <v>0.34279414560940319</v>
      </c>
      <c r="D97">
        <v>1.9132925029199821</v>
      </c>
      <c r="E97">
        <v>3.660688201729811</v>
      </c>
      <c r="F97">
        <f>2.464/(2*SIN(表格1[[#This Row],[theta_rad]]/2))</f>
        <v>411.84195555144606</v>
      </c>
      <c r="G97">
        <f>表格1[[#This Row],[Morie Lattice]]/3^0.5</f>
        <v>237.77706390120929</v>
      </c>
      <c r="H97" s="5">
        <v>4.1945716280000003</v>
      </c>
      <c r="I97">
        <f>表格1[[#This Row],[length(BM)]]*2</f>
        <v>8.3891432560000005</v>
      </c>
    </row>
    <row r="98" spans="1:9" x14ac:dyDescent="0.25">
      <c r="A98">
        <v>97</v>
      </c>
      <c r="B98">
        <v>5.9215239194854432E-3</v>
      </c>
      <c r="C98">
        <v>0.33927832887228099</v>
      </c>
      <c r="D98">
        <v>1.933119191717408</v>
      </c>
      <c r="E98">
        <v>3.7369498093861631</v>
      </c>
      <c r="F98">
        <f>2.464/(2*SIN(表格1[[#This Row],[theta_rad]]/2))</f>
        <v>416.10970984096514</v>
      </c>
      <c r="G98">
        <f>表格1[[#This Row],[Morie Lattice]]/3^0.5</f>
        <v>240.24105298909831</v>
      </c>
      <c r="H98" s="5">
        <v>4.2380384329999998</v>
      </c>
      <c r="I98">
        <f>表格1[[#This Row],[length(BM)]]*2</f>
        <v>8.4760768659999997</v>
      </c>
    </row>
    <row r="99" spans="1:9" x14ac:dyDescent="0.25">
      <c r="A99">
        <v>98</v>
      </c>
      <c r="B99">
        <v>5.8614072713699637E-3</v>
      </c>
      <c r="C99">
        <v>0.33583389865679092</v>
      </c>
      <c r="D99">
        <v>1.952945882301983</v>
      </c>
      <c r="E99">
        <v>3.813997619200272</v>
      </c>
      <c r="F99">
        <f>2.464/(2*SIN(表格1[[#This Row],[theta_rad]]/2))</f>
        <v>420.37746451517381</v>
      </c>
      <c r="G99">
        <f>表格1[[#This Row],[Morie Lattice]]/3^0.5</f>
        <v>242.70504229908798</v>
      </c>
      <c r="H99" s="5">
        <v>4.2815052419999997</v>
      </c>
      <c r="I99">
        <f>表格1[[#This Row],[length(BM)]]*2</f>
        <v>8.5630104839999994</v>
      </c>
    </row>
    <row r="100" spans="1:9" x14ac:dyDescent="0.25">
      <c r="A100">
        <v>99</v>
      </c>
      <c r="B100">
        <v>5.8024989878281757E-3</v>
      </c>
      <c r="C100">
        <v>0.33245870263148652</v>
      </c>
      <c r="D100">
        <v>1.9727725746114231</v>
      </c>
      <c r="E100">
        <v>3.891831631138984</v>
      </c>
      <c r="F100">
        <f>2.464/(2*SIN(表格1[[#This Row],[theta_rad]]/2))</f>
        <v>424.64521956066466</v>
      </c>
      <c r="G100">
        <f>表格1[[#This Row],[Morie Lattice]]/3^0.5</f>
        <v>245.16903182343748</v>
      </c>
      <c r="H100" s="5">
        <v>4.3249720519999997</v>
      </c>
      <c r="I100">
        <f>表格1[[#This Row],[length(BM)]]*2</f>
        <v>8.6499441039999994</v>
      </c>
    </row>
    <row r="101" spans="1:9" x14ac:dyDescent="0.25">
      <c r="A101">
        <v>100</v>
      </c>
      <c r="B101">
        <v>5.7447629986505369E-3</v>
      </c>
      <c r="C101">
        <v>0.32915067412559479</v>
      </c>
      <c r="D101">
        <v>1.992599268603743</v>
      </c>
      <c r="E101">
        <v>3.9704518452401718</v>
      </c>
      <c r="F101">
        <f>2.464/(2*SIN(表格1[[#This Row],[theta_rad]]/2))</f>
        <v>428.91297496840042</v>
      </c>
      <c r="G101">
        <f>表格1[[#This Row],[Morie Lattice]]/3^0.5</f>
        <v>247.63302155692921</v>
      </c>
      <c r="H101" s="5">
        <v>4.3684388649999999</v>
      </c>
      <c r="I101">
        <f>表格1[[#This Row],[length(BM)]]*2</f>
        <v>8.7368777299999998</v>
      </c>
    </row>
    <row r="102" spans="1:9" x14ac:dyDescent="0.25">
      <c r="A102">
        <v>101</v>
      </c>
      <c r="B102">
        <v>5.6881646551398598E-3</v>
      </c>
      <c r="C102">
        <v>0.32590782791500128</v>
      </c>
      <c r="D102">
        <v>2.0124259642231701</v>
      </c>
      <c r="E102">
        <v>4.049858261479554</v>
      </c>
      <c r="F102">
        <f>2.464/(2*SIN(表格1[[#This Row],[theta_rad]]/2))</f>
        <v>433.18073072637583</v>
      </c>
      <c r="G102">
        <f>表格1[[#This Row],[Morie Lattice]]/3^0.5</f>
        <v>250.09701149263188</v>
      </c>
      <c r="H102" s="5">
        <v>4.4119056810000004</v>
      </c>
      <c r="I102">
        <f>表格1[[#This Row],[length(BM)]]*2</f>
        <v>8.8238113620000007</v>
      </c>
    </row>
    <row r="103" spans="1:9" x14ac:dyDescent="0.25">
      <c r="A103">
        <v>102</v>
      </c>
      <c r="B103">
        <v>5.6326706607241397E-3</v>
      </c>
      <c r="C103">
        <v>0.32272825624665802</v>
      </c>
      <c r="D103">
        <v>2.0322526614159262</v>
      </c>
      <c r="E103">
        <v>4.1300508798321136</v>
      </c>
      <c r="F103">
        <f>2.464/(2*SIN(表格1[[#This Row],[theta_rad]]/2))</f>
        <v>437.44848682301517</v>
      </c>
      <c r="G103">
        <f>表格1[[#This Row],[Morie Lattice]]/3^0.5</f>
        <v>252.5610016238623</v>
      </c>
      <c r="H103" s="5">
        <v>4.4553724990000001</v>
      </c>
      <c r="I103">
        <f>表格1[[#This Row],[length(BM)]]*2</f>
        <v>8.9107449980000002</v>
      </c>
    </row>
    <row r="104" spans="1:9" x14ac:dyDescent="0.25">
      <c r="A104">
        <v>103</v>
      </c>
      <c r="B104">
        <v>5.5782490055812676E-3</v>
      </c>
      <c r="C104">
        <v>0.31961012509285508</v>
      </c>
      <c r="D104">
        <v>2.0520793601508531</v>
      </c>
      <c r="E104">
        <v>4.2110297003571349</v>
      </c>
      <c r="F104">
        <f>2.464/(2*SIN(表格1[[#This Row],[theta_rad]]/2))</f>
        <v>441.71624325161144</v>
      </c>
      <c r="G104">
        <f>表格1[[#This Row],[Morie Lattice]]/3^0.5</f>
        <v>255.02499194674809</v>
      </c>
      <c r="H104" s="5">
        <v>4.498839319</v>
      </c>
      <c r="I104">
        <f>表格1[[#This Row],[length(BM)]]*2</f>
        <v>8.997678638</v>
      </c>
    </row>
    <row r="105" spans="1:9" x14ac:dyDescent="0.25">
      <c r="A105">
        <v>104</v>
      </c>
      <c r="B105">
        <v>5.524868905196571E-3</v>
      </c>
      <c r="C105">
        <v>0.31655167063082718</v>
      </c>
      <c r="D105">
        <v>2.0719060603740012</v>
      </c>
      <c r="E105">
        <v>4.2927947230145138</v>
      </c>
      <c r="F105">
        <f>2.464/(2*SIN(表格1[[#This Row],[theta_rad]]/2))</f>
        <v>445.98400000055176</v>
      </c>
      <c r="G105">
        <f>表格1[[#This Row],[Morie Lattice]]/3^0.5</f>
        <v>257.48898245458463</v>
      </c>
      <c r="H105" s="5">
        <v>4.5423061410000001</v>
      </c>
      <c r="I105">
        <f>表格1[[#This Row],[length(BM)]]*2</f>
        <v>9.0846122820000001</v>
      </c>
    </row>
    <row r="106" spans="1:9" x14ac:dyDescent="0.25">
      <c r="A106">
        <v>105</v>
      </c>
      <c r="B106">
        <v>5.4725007422063406E-3</v>
      </c>
      <c r="C106">
        <v>0.31355119591063391</v>
      </c>
      <c r="D106">
        <v>2.091732762040186</v>
      </c>
      <c r="E106">
        <v>4.3753459477922654</v>
      </c>
      <c r="F106">
        <f>2.464/(2*SIN(表格1[[#This Row],[theta_rad]]/2))</f>
        <v>450.25175706011009</v>
      </c>
      <c r="G106">
        <f>表格1[[#This Row],[Morie Lattice]]/3^0.5</f>
        <v>259.95297314175656</v>
      </c>
      <c r="H106" s="5">
        <v>4.5857729650000003</v>
      </c>
      <c r="I106">
        <f>表格1[[#This Row],[length(BM)]]*2</f>
        <v>9.1715459300000006</v>
      </c>
    </row>
    <row r="107" spans="1:9" x14ac:dyDescent="0.25">
      <c r="A107">
        <v>106</v>
      </c>
      <c r="B107">
        <v>5.4211160115793973E-3</v>
      </c>
      <c r="C107">
        <v>0.31060706771429342</v>
      </c>
      <c r="D107">
        <v>2.1115594651223959</v>
      </c>
      <c r="E107">
        <v>4.458683374747979</v>
      </c>
      <c r="F107">
        <f>2.464/(2*SIN(表格1[[#This Row],[theta_rad]]/2))</f>
        <v>454.51951442447188</v>
      </c>
      <c r="G107">
        <f>表格1[[#This Row],[Morie Lattice]]/3^0.5</f>
        <v>262.41696400490684</v>
      </c>
      <c r="H107" s="5">
        <v>4.6292397919999999</v>
      </c>
      <c r="I107">
        <f>表格1[[#This Row],[length(BM)]]*2</f>
        <v>9.2584795839999998</v>
      </c>
    </row>
    <row r="108" spans="1:9" x14ac:dyDescent="0.25">
      <c r="A108">
        <v>107</v>
      </c>
      <c r="B108">
        <v>5.3706872690033073E-3</v>
      </c>
      <c r="C108">
        <v>0.30771771359853167</v>
      </c>
      <c r="D108">
        <v>2.131386169564141</v>
      </c>
      <c r="E108">
        <v>4.5428070038093011</v>
      </c>
      <c r="F108">
        <f>2.464/(2*SIN(表格1[[#This Row],[theta_rad]]/2))</f>
        <v>458.78727208147797</v>
      </c>
      <c r="G108">
        <f>表格1[[#This Row],[Morie Lattice]]/3^0.5</f>
        <v>264.88095503701538</v>
      </c>
      <c r="H108" s="5">
        <v>4.6727066199999996</v>
      </c>
      <c r="I108">
        <f>表格1[[#This Row],[length(BM)]]*2</f>
        <v>9.3454132399999992</v>
      </c>
    </row>
    <row r="109" spans="1:9" x14ac:dyDescent="0.25">
      <c r="A109">
        <v>108</v>
      </c>
      <c r="B109">
        <v>5.3211880818516289E-3</v>
      </c>
      <c r="C109">
        <v>0.30488161908541239</v>
      </c>
      <c r="D109">
        <v>2.151212875339541</v>
      </c>
      <c r="E109">
        <v>4.6277168350266136</v>
      </c>
      <c r="F109">
        <f>2.464/(2*SIN(表格1[[#This Row],[theta_rad]]/2))</f>
        <v>463.05503002555685</v>
      </c>
      <c r="G109">
        <f>表格1[[#This Row],[Morie Lattice]]/3^0.5</f>
        <v>267.34494623486552</v>
      </c>
      <c r="H109" s="5">
        <v>4.7161734500000003</v>
      </c>
      <c r="I109">
        <f>表格1[[#This Row],[length(BM)]]*2</f>
        <v>9.4323469000000006</v>
      </c>
    </row>
    <row r="110" spans="1:9" x14ac:dyDescent="0.25">
      <c r="A110">
        <v>109</v>
      </c>
      <c r="B110">
        <v>5.2725929830973366E-3</v>
      </c>
      <c r="C110">
        <v>0.30209732502177</v>
      </c>
      <c r="D110">
        <v>2.1710395824099571</v>
      </c>
      <c r="E110">
        <v>4.7134128683907992</v>
      </c>
      <c r="F110">
        <f>2.464/(2*SIN(表格1[[#This Row],[theta_rad]]/2))</f>
        <v>467.32278824839227</v>
      </c>
      <c r="G110">
        <f>表格1[[#This Row],[Morie Lattice]]/3^0.5</f>
        <v>269.8089375936558</v>
      </c>
      <c r="H110" s="5">
        <v>4.7596402820000003</v>
      </c>
      <c r="I110">
        <f>表格1[[#This Row],[length(BM)]]*2</f>
        <v>9.5192805640000007</v>
      </c>
    </row>
    <row r="111" spans="1:9" x14ac:dyDescent="0.25">
      <c r="A111">
        <v>110</v>
      </c>
      <c r="B111">
        <v>5.2248774275953803E-3</v>
      </c>
      <c r="C111">
        <v>0.29936342507438568</v>
      </c>
      <c r="D111">
        <v>2.190866290734081</v>
      </c>
      <c r="E111">
        <v>4.7998951038749116</v>
      </c>
      <c r="F111">
        <f>2.464/(2*SIN(表格1[[#This Row],[theta_rad]]/2))</f>
        <v>471.590546741092</v>
      </c>
      <c r="G111">
        <f>表格1[[#This Row],[Morie Lattice]]/3^0.5</f>
        <v>272.2729291082523</v>
      </c>
      <c r="H111" s="5">
        <v>4.8031071159999996</v>
      </c>
      <c r="I111">
        <f>表格1[[#This Row],[length(BM)]]*2</f>
        <v>9.6062142319999992</v>
      </c>
    </row>
    <row r="112" spans="1:9" x14ac:dyDescent="0.25">
      <c r="A112">
        <v>111</v>
      </c>
      <c r="B112">
        <v>5.1780177507037232E-3</v>
      </c>
      <c r="C112">
        <v>0.296678563359147</v>
      </c>
      <c r="D112">
        <v>2.2106930002845688</v>
      </c>
      <c r="E112">
        <v>4.8871635415071903</v>
      </c>
      <c r="F112">
        <f>2.464/(2*SIN(表格1[[#This Row],[theta_rad]]/2))</f>
        <v>475.85830549777023</v>
      </c>
      <c r="G112">
        <f>表格1[[#This Row],[Morie Lattice]]/3^0.5</f>
        <v>274.73692077525681</v>
      </c>
      <c r="H112" s="5">
        <v>4.846573952</v>
      </c>
      <c r="I112">
        <f>表格1[[#This Row],[length(BM)]]*2</f>
        <v>9.6931479039999999</v>
      </c>
    </row>
    <row r="113" spans="1:9" x14ac:dyDescent="0.25">
      <c r="A113">
        <v>112</v>
      </c>
      <c r="B113">
        <v>5.1319911291808429E-3</v>
      </c>
      <c r="C113">
        <v>0.29404143220063989</v>
      </c>
      <c r="D113">
        <v>2.2305197110353361</v>
      </c>
      <c r="E113">
        <v>4.9752181813171568</v>
      </c>
      <c r="F113">
        <f>2.464/(2*SIN(表格1[[#This Row],[theta_rad]]/2))</f>
        <v>480.12606451281192</v>
      </c>
      <c r="G113">
        <f>表格1[[#This Row],[Morie Lattice]]/3^0.5</f>
        <v>277.2009125914276</v>
      </c>
      <c r="H113" s="5">
        <v>4.8900407899999996</v>
      </c>
      <c r="I113">
        <f>表格1[[#This Row],[length(BM)]]*2</f>
        <v>9.7800815799999992</v>
      </c>
    </row>
    <row r="114" spans="1:9" x14ac:dyDescent="0.25">
      <c r="A114">
        <v>113</v>
      </c>
      <c r="B114">
        <v>5.0867755441786362E-3</v>
      </c>
      <c r="C114">
        <v>0.29145077001179848</v>
      </c>
      <c r="D114">
        <v>2.2503464229356052</v>
      </c>
      <c r="E114">
        <v>5.0640590232190732</v>
      </c>
      <c r="F114">
        <f>2.464/(2*SIN(表格1[[#This Row],[theta_rad]]/2))</f>
        <v>484.39382377528773</v>
      </c>
      <c r="G114">
        <f>表格1[[#This Row],[Morie Lattice]]/3^0.5</f>
        <v>279.66490455045454</v>
      </c>
      <c r="H114" s="5">
        <v>4.9335076290000002</v>
      </c>
      <c r="I114">
        <f>表格1[[#This Row],[length(BM)]]*2</f>
        <v>9.8670152580000003</v>
      </c>
    </row>
    <row r="115" spans="1:9" x14ac:dyDescent="0.25">
      <c r="A115">
        <v>114</v>
      </c>
      <c r="B115">
        <v>5.0423497459792244E-3</v>
      </c>
      <c r="C115">
        <v>0.28890535927347227</v>
      </c>
      <c r="D115">
        <v>2.2701731359705319</v>
      </c>
      <c r="E115">
        <v>5.1536860672822797</v>
      </c>
      <c r="F115">
        <f>2.464/(2*SIN(表格1[[#This Row],[theta_rad]]/2))</f>
        <v>488.66158328200186</v>
      </c>
      <c r="G115">
        <f>表格1[[#This Row],[Morie Lattice]]/3^0.5</f>
        <v>282.12889665049249</v>
      </c>
      <c r="H115" s="5">
        <v>4.97697447</v>
      </c>
      <c r="I115">
        <f>表格1[[#This Row],[length(BM)]]*2</f>
        <v>9.9539489400000001</v>
      </c>
    </row>
    <row r="116" spans="1:9" x14ac:dyDescent="0.25">
      <c r="A116">
        <v>115</v>
      </c>
      <c r="B116">
        <v>4.9986932208091811E-3</v>
      </c>
      <c r="C116">
        <v>0.28640402463302223</v>
      </c>
      <c r="D116">
        <v>2.2899998501125438</v>
      </c>
      <c r="E116">
        <v>5.2440993135154752</v>
      </c>
      <c r="F116">
        <f>2.464/(2*SIN(表格1[[#This Row],[theta_rad]]/2))</f>
        <v>492.92934302701929</v>
      </c>
      <c r="G116">
        <f>表格1[[#This Row],[Morie Lattice]]/3^0.5</f>
        <v>284.592888888115</v>
      </c>
      <c r="H116" s="5">
        <v>5.0204413130000001</v>
      </c>
      <c r="I116">
        <f>表格1[[#This Row],[length(BM)]]*2</f>
        <v>10.040882626</v>
      </c>
    </row>
    <row r="117" spans="1:9" x14ac:dyDescent="0.25">
      <c r="A117">
        <v>116</v>
      </c>
      <c r="B117">
        <v>4.9557861592607064E-3</v>
      </c>
      <c r="C117">
        <v>0.28394563109498649</v>
      </c>
      <c r="D117">
        <v>2.3098265653177061</v>
      </c>
      <c r="E117">
        <v>5.3352987618473886</v>
      </c>
      <c r="F117">
        <f>2.464/(2*SIN(表格1[[#This Row],[theta_rad]]/2))</f>
        <v>497.19710300088303</v>
      </c>
      <c r="G117">
        <f>表格1[[#This Row],[Morie Lattice]]/3^0.5</f>
        <v>287.0568812578619</v>
      </c>
      <c r="H117" s="5">
        <v>5.0639081570000002</v>
      </c>
      <c r="I117">
        <f>表格1[[#This Row],[length(BM)]]*2</f>
        <v>10.127816314</v>
      </c>
    </row>
    <row r="118" spans="1:9" x14ac:dyDescent="0.25">
      <c r="A118">
        <v>117</v>
      </c>
      <c r="B118">
        <v>4.9136094262253903E-3</v>
      </c>
      <c r="C118">
        <v>0.28152908229841289</v>
      </c>
      <c r="D118">
        <v>2.3296532815693061</v>
      </c>
      <c r="E118">
        <v>5.4272844123266344</v>
      </c>
      <c r="F118">
        <f>2.464/(2*SIN(表格1[[#This Row],[theta_rad]]/2))</f>
        <v>501.46486319999576</v>
      </c>
      <c r="G118">
        <f>表格1[[#This Row],[Morie Lattice]]/3^0.5</f>
        <v>289.52087375765643</v>
      </c>
      <c r="H118" s="5">
        <v>5.1073750020000004</v>
      </c>
      <c r="I118">
        <f>表格1[[#This Row],[length(BM)]]*2</f>
        <v>10.214750004000001</v>
      </c>
    </row>
    <row r="119" spans="1:9" x14ac:dyDescent="0.25">
      <c r="A119">
        <v>118</v>
      </c>
      <c r="B119">
        <v>4.8721445325182041E-3</v>
      </c>
      <c r="C119">
        <v>0.27915331889103262</v>
      </c>
      <c r="D119">
        <v>2.3494799988427451</v>
      </c>
      <c r="E119">
        <v>5.520056264962105</v>
      </c>
      <c r="F119">
        <f>2.464/(2*SIN(表格1[[#This Row],[theta_rad]]/2))</f>
        <v>505.73262361906239</v>
      </c>
      <c r="G119">
        <f>表格1[[#This Row],[Morie Lattice]]/3^0.5</f>
        <v>291.98486638444137</v>
      </c>
      <c r="H119" s="5">
        <v>5.1508418499999999</v>
      </c>
      <c r="I119">
        <f>表格1[[#This Row],[length(BM)]]*2</f>
        <v>10.3016837</v>
      </c>
    </row>
    <row r="120" spans="1:9" x14ac:dyDescent="0.25">
      <c r="A120">
        <v>119</v>
      </c>
      <c r="B120">
        <v>4.831373607859301E-3</v>
      </c>
      <c r="C120">
        <v>0.27681731698123158</v>
      </c>
      <c r="D120">
        <v>2.3693067171013982</v>
      </c>
      <c r="E120">
        <v>5.6136143197018029</v>
      </c>
      <c r="F120">
        <f>2.464/(2*SIN(表格1[[#This Row],[theta_rad]]/2))</f>
        <v>510.00038425019915</v>
      </c>
      <c r="G120">
        <f>表格1[[#This Row],[Morie Lattice]]/3^0.5</f>
        <v>294.44885913366505</v>
      </c>
      <c r="H120" s="5">
        <v>5.1943086980000004</v>
      </c>
      <c r="I120">
        <f>表格1[[#This Row],[length(BM)]]*2</f>
        <v>10.388617396000001</v>
      </c>
    </row>
    <row r="121" spans="1:9" x14ac:dyDescent="0.25">
      <c r="A121">
        <v>120</v>
      </c>
      <c r="B121">
        <v>4.7912793751206852E-3</v>
      </c>
      <c r="C121">
        <v>0.27452008666249361</v>
      </c>
      <c r="D121">
        <v>2.3891334363323962</v>
      </c>
      <c r="E121">
        <v>5.7079585766014436</v>
      </c>
      <c r="F121">
        <f>2.464/(2*SIN(表格1[[#This Row],[theta_rad]]/2))</f>
        <v>514.26814509063627</v>
      </c>
      <c r="G121">
        <f>表格1[[#This Row],[Morie Lattice]]/3^0.5</f>
        <v>296.9128520037284</v>
      </c>
      <c r="H121" s="5">
        <v>5.2377755480000001</v>
      </c>
      <c r="I121">
        <f>表格1[[#This Row],[length(BM)]]*2</f>
        <v>10.475551096</v>
      </c>
    </row>
    <row r="122" spans="1:9" x14ac:dyDescent="0.25">
      <c r="A122">
        <v>121</v>
      </c>
      <c r="B122">
        <v>4.7518451259814746E-3</v>
      </c>
      <c r="C122">
        <v>0.27226067061854953</v>
      </c>
      <c r="D122">
        <v>2.40896015651485</v>
      </c>
      <c r="E122">
        <v>5.8030890356760523</v>
      </c>
      <c r="F122">
        <f>2.464/(2*SIN(表格1[[#This Row],[theta_rad]]/2))</f>
        <v>518.53590613587733</v>
      </c>
      <c r="G122">
        <f>表格1[[#This Row],[Morie Lattice]]/3^0.5</f>
        <v>299.37684499203533</v>
      </c>
      <c r="H122" s="5">
        <v>5.2812424</v>
      </c>
      <c r="I122">
        <f>表格1[[#This Row],[length(BM)]]*2</f>
        <v>10.5624848</v>
      </c>
    </row>
    <row r="123" spans="1:9" x14ac:dyDescent="0.25">
      <c r="A123">
        <v>122</v>
      </c>
      <c r="B123">
        <v>4.7130546977314043E-3</v>
      </c>
      <c r="C123">
        <v>0.27003814279431537</v>
      </c>
      <c r="D123">
        <v>2.4287868776092041</v>
      </c>
      <c r="E123">
        <v>5.8990056968466646</v>
      </c>
      <c r="F123">
        <f>2.464/(2*SIN(表格1[[#This Row],[theta_rad]]/2))</f>
        <v>522.80366737740701</v>
      </c>
      <c r="G123">
        <f>表格1[[#This Row],[Morie Lattice]]/3^0.5</f>
        <v>301.8408380936695</v>
      </c>
      <c r="H123" s="5">
        <v>5.3247092519999999</v>
      </c>
      <c r="I123">
        <f>表格1[[#This Row],[length(BM)]]*2</f>
        <v>10.649418504</v>
      </c>
    </row>
    <row r="124" spans="1:9" x14ac:dyDescent="0.25">
      <c r="A124">
        <v>123</v>
      </c>
      <c r="B124">
        <v>4.6748924510747244E-3</v>
      </c>
      <c r="C124">
        <v>0.2678516071241504</v>
      </c>
      <c r="D124">
        <v>2.448613599612365</v>
      </c>
      <c r="E124">
        <v>5.9957085602066256</v>
      </c>
      <c r="F124">
        <f>2.464/(2*SIN(表格1[[#This Row],[theta_rad]]/2))</f>
        <v>527.07142881456059</v>
      </c>
      <c r="G124">
        <f>表格1[[#This Row],[Morie Lattice]]/3^0.5</f>
        <v>304.30483130824723</v>
      </c>
      <c r="H124" s="5">
        <v>5.3681761059999999</v>
      </c>
      <c r="I124">
        <f>表格1[[#This Row],[length(BM)]]*2</f>
        <v>10.736352212</v>
      </c>
    </row>
    <row r="125" spans="1:9" x14ac:dyDescent="0.25">
      <c r="A125">
        <v>124</v>
      </c>
      <c r="B125">
        <v>4.637343249244621E-3</v>
      </c>
      <c r="C125">
        <v>0.26570019633520059</v>
      </c>
      <c r="D125">
        <v>2.4684403224873699</v>
      </c>
      <c r="E125">
        <v>6.0931976256815528</v>
      </c>
      <c r="F125">
        <f>2.464/(2*SIN(表格1[[#This Row],[theta_rad]]/2))</f>
        <v>531.33919043938101</v>
      </c>
      <c r="G125">
        <f>表格1[[#This Row],[Morie Lattice]]/3^0.5</f>
        <v>306.76882463117448</v>
      </c>
      <c r="H125" s="5">
        <v>5.4116429620000002</v>
      </c>
      <c r="I125">
        <f>表格1[[#This Row],[length(BM)]]*2</f>
        <v>10.823285924</v>
      </c>
    </row>
    <row r="126" spans="1:9" x14ac:dyDescent="0.25">
      <c r="A126">
        <v>125</v>
      </c>
      <c r="B126">
        <v>4.6003924378791522E-3</v>
      </c>
      <c r="C126">
        <v>0.26358307079437521</v>
      </c>
      <c r="D126">
        <v>2.4882670462177559</v>
      </c>
      <c r="E126">
        <v>6.1914728932932377</v>
      </c>
      <c r="F126">
        <f>2.464/(2*SIN(表格1[[#This Row],[theta_rad]]/2))</f>
        <v>535.606952248325</v>
      </c>
      <c r="G126">
        <f>表格1[[#This Row],[Morie Lattice]]/3^0.5</f>
        <v>309.23281806040546</v>
      </c>
      <c r="H126" s="5">
        <v>5.4551098180000004</v>
      </c>
      <c r="I126">
        <f>表格1[[#This Row],[length(BM)]]*2</f>
        <v>10.910219636000001</v>
      </c>
    </row>
    <row r="127" spans="1:9" x14ac:dyDescent="0.25">
      <c r="A127">
        <v>126</v>
      </c>
      <c r="B127">
        <v>4.5640258260125953E-3</v>
      </c>
      <c r="C127">
        <v>0.26149941741923111</v>
      </c>
      <c r="D127">
        <v>2.5080937707761839</v>
      </c>
      <c r="E127">
        <v>6.2905343630062971</v>
      </c>
      <c r="F127">
        <f>2.464/(2*SIN(表格1[[#This Row],[theta_rad]]/2))</f>
        <v>539.87471423550721</v>
      </c>
      <c r="G127">
        <f>表格1[[#This Row],[Morie Lattice]]/3^0.5</f>
        <v>311.69681159254242</v>
      </c>
      <c r="H127" s="5">
        <v>5.4985766759999999</v>
      </c>
      <c r="I127">
        <f>表格1[[#This Row],[length(BM)]]*2</f>
        <v>10.997153352</v>
      </c>
    </row>
    <row r="128" spans="1:9" x14ac:dyDescent="0.25">
      <c r="A128">
        <v>127</v>
      </c>
      <c r="B128">
        <v>4.5282296678391511E-3</v>
      </c>
      <c r="C128">
        <v>0.25944844863311001</v>
      </c>
      <c r="D128">
        <v>2.5279204961597199</v>
      </c>
      <c r="E128">
        <v>6.3903820349044071</v>
      </c>
      <c r="F128">
        <f>2.464/(2*SIN(表格1[[#This Row],[theta_rad]]/2))</f>
        <v>544.14247640029669</v>
      </c>
      <c r="G128">
        <f>表格1[[#This Row],[Morie Lattice]]/3^0.5</f>
        <v>314.16080522722092</v>
      </c>
      <c r="H128" s="5">
        <v>5.5420435350000004</v>
      </c>
      <c r="I128">
        <f>表格1[[#This Row],[length(BM)]]*2</f>
        <v>11.084087070000001</v>
      </c>
    </row>
    <row r="129" spans="1:9" x14ac:dyDescent="0.25">
      <c r="A129">
        <v>128</v>
      </c>
      <c r="B129">
        <v>4.4929906454682852E-3</v>
      </c>
      <c r="C129">
        <v>0.2574294013770923</v>
      </c>
      <c r="D129">
        <v>2.547747222347347</v>
      </c>
      <c r="E129">
        <v>6.4910159089786186</v>
      </c>
      <c r="F129">
        <f>2.464/(2*SIN(表格1[[#This Row],[theta_rad]]/2))</f>
        <v>548.41023873816869</v>
      </c>
      <c r="G129">
        <f>表格1[[#This Row],[Morie Lattice]]/3^0.5</f>
        <v>316.62479896182862</v>
      </c>
      <c r="H129" s="5">
        <v>5.585510395</v>
      </c>
      <c r="I129">
        <f>表格1[[#This Row],[length(BM)]]*2</f>
        <v>11.17102079</v>
      </c>
    </row>
    <row r="130" spans="1:9" x14ac:dyDescent="0.25">
      <c r="A130">
        <v>129</v>
      </c>
      <c r="B130">
        <v>4.4582958523990837E-3</v>
      </c>
      <c r="C130">
        <v>0.2554415361631473</v>
      </c>
      <c r="D130">
        <v>2.5675739493014751</v>
      </c>
      <c r="E130">
        <v>6.5924359851315719</v>
      </c>
      <c r="F130">
        <f>2.464/(2*SIN(表格1[[#This Row],[theta_rad]]/2))</f>
        <v>552.6780012410328</v>
      </c>
      <c r="G130">
        <f>表格1[[#This Row],[Morie Lattice]]/3^0.5</f>
        <v>319.08879279169463</v>
      </c>
      <c r="H130" s="5">
        <v>5.6289772559999998</v>
      </c>
      <c r="I130">
        <f>表格1[[#This Row],[length(BM)]]*2</f>
        <v>11.257954512</v>
      </c>
    </row>
    <row r="131" spans="1:9" x14ac:dyDescent="0.25">
      <c r="A131">
        <v>130</v>
      </c>
      <c r="B131">
        <v>4.4241327776671814E-3</v>
      </c>
      <c r="C131">
        <v>0.25348413616581927</v>
      </c>
      <c r="D131">
        <v>2.5874006770205971</v>
      </c>
      <c r="E131">
        <v>6.694642263446644</v>
      </c>
      <c r="F131">
        <f>2.464/(2*SIN(表格1[[#This Row],[theta_rad]]/2))</f>
        <v>556.94576390856412</v>
      </c>
      <c r="G131">
        <f>表格1[[#This Row],[Morie Lattice]]/3^0.5</f>
        <v>321.55278671663126</v>
      </c>
      <c r="H131" s="5">
        <v>5.6724441189999997</v>
      </c>
      <c r="I131">
        <f>表格1[[#This Row],[length(BM)]]*2</f>
        <v>11.344888237999999</v>
      </c>
    </row>
    <row r="132" spans="1:9" x14ac:dyDescent="0.25">
      <c r="A132">
        <v>131</v>
      </c>
      <c r="B132">
        <v>4.3904892909118346E-3</v>
      </c>
      <c r="C132">
        <v>0.25155650636663363</v>
      </c>
      <c r="D132">
        <v>2.6072274054774951</v>
      </c>
      <c r="E132">
        <v>6.7976347438729086</v>
      </c>
      <c r="F132">
        <f>2.464/(2*SIN(表格1[[#This Row],[theta_rad]]/2))</f>
        <v>561.21352673490367</v>
      </c>
      <c r="G132">
        <f>表格1[[#This Row],[Morie Lattice]]/3^0.5</f>
        <v>324.01678073325587</v>
      </c>
      <c r="H132" s="5">
        <v>5.7159109819999996</v>
      </c>
      <c r="I132">
        <f>表格1[[#This Row],[length(BM)]]*2</f>
        <v>11.431821963999999</v>
      </c>
    </row>
    <row r="133" spans="1:9" x14ac:dyDescent="0.25">
      <c r="A133">
        <v>132</v>
      </c>
      <c r="B133">
        <v>4.357353627931649E-3</v>
      </c>
      <c r="C133">
        <v>0.24965797272650109</v>
      </c>
      <c r="D133">
        <v>2.6270541346676439</v>
      </c>
      <c r="E133">
        <v>6.9014134264743632</v>
      </c>
      <c r="F133">
        <f>2.464/(2*SIN(表格1[[#This Row],[theta_rad]]/2))</f>
        <v>565.48128971907784</v>
      </c>
      <c r="G133">
        <f>表格1[[#This Row],[Morie Lattice]]/3^0.5</f>
        <v>326.48077484100634</v>
      </c>
      <c r="H133" s="5">
        <v>5.7593778469999997</v>
      </c>
      <c r="I133">
        <f>表格1[[#This Row],[length(BM)]]*2</f>
        <v>11.518755693999999</v>
      </c>
    </row>
    <row r="134" spans="1:9" x14ac:dyDescent="0.25">
      <c r="A134">
        <v>133</v>
      </c>
      <c r="B134">
        <v>4.3247143770349366E-3</v>
      </c>
      <c r="C134">
        <v>0.24778788140365099</v>
      </c>
      <c r="D134">
        <v>2.6468808645708379</v>
      </c>
      <c r="E134">
        <v>7.005978311231269</v>
      </c>
      <c r="F134">
        <f>2.464/(2*SIN(表格1[[#This Row],[theta_rad]]/2))</f>
        <v>569.74905285673742</v>
      </c>
      <c r="G134">
        <f>表格1[[#This Row],[Morie Lattice]]/3^0.5</f>
        <v>328.94476903737171</v>
      </c>
      <c r="H134" s="5">
        <v>5.8028447119999997</v>
      </c>
      <c r="I134">
        <f>表格1[[#This Row],[length(BM)]]*2</f>
        <v>11.605689423999999</v>
      </c>
    </row>
    <row r="135" spans="1:9" x14ac:dyDescent="0.25">
      <c r="A135">
        <v>134</v>
      </c>
      <c r="B135">
        <v>4.2925604659091784E-3</v>
      </c>
      <c r="C135">
        <v>0.24594559800130619</v>
      </c>
      <c r="D135">
        <v>2.6667075951668382</v>
      </c>
      <c r="E135">
        <v>7.1113293981204988</v>
      </c>
      <c r="F135">
        <f>2.464/(2*SIN(表格1[[#This Row],[theta_rad]]/2))</f>
        <v>574.01681614352503</v>
      </c>
      <c r="G135">
        <f>表格1[[#This Row],[Morie Lattice]]/3^0.5</f>
        <v>331.40876331983611</v>
      </c>
      <c r="H135" s="5">
        <v>5.846311579</v>
      </c>
      <c r="I135">
        <f>表格1[[#This Row],[length(BM)]]*2</f>
        <v>11.692623158</v>
      </c>
    </row>
    <row r="136" spans="1:9" x14ac:dyDescent="0.25">
      <c r="A136">
        <v>135</v>
      </c>
      <c r="B136">
        <v>4.2608811490767399E-3</v>
      </c>
      <c r="C136">
        <v>0.24413050684894971</v>
      </c>
      <c r="D136">
        <v>2.6865343264486832</v>
      </c>
      <c r="E136">
        <v>7.217466687187077</v>
      </c>
      <c r="F136">
        <f>2.464/(2*SIN(表格1[[#This Row],[theta_rad]]/2))</f>
        <v>578.28457957794308</v>
      </c>
      <c r="G136">
        <f>表格1[[#This Row],[Morie Lattice]]/3^0.5</f>
        <v>333.872757687535</v>
      </c>
      <c r="H136" s="5">
        <v>5.8897784470000003</v>
      </c>
      <c r="I136">
        <f>表格1[[#This Row],[length(BM)]]*2</f>
        <v>11.779556894000001</v>
      </c>
    </row>
    <row r="137" spans="1:9" s="3" customFormat="1" ht="16.5" x14ac:dyDescent="0.25">
      <c r="A137" s="3">
        <v>136</v>
      </c>
      <c r="B137" s="3">
        <v>4.2296659960034356E-3</v>
      </c>
      <c r="C137" s="3">
        <v>0.24234201032099459</v>
      </c>
      <c r="D137" s="3">
        <v>2.7063610583717002</v>
      </c>
      <c r="E137" s="3">
        <v>7.3243901782707868</v>
      </c>
      <c r="F137" s="3">
        <f>2.464/(2*SIN(表格1[[#This Row],[theta_rad]]/2))</f>
        <v>582.55234315037524</v>
      </c>
      <c r="G137" s="3">
        <f>表格1[[#This Row],[Morie Lattice]]/3^0.5</f>
        <v>336.33675213491642</v>
      </c>
      <c r="H137" s="6">
        <v>5.9332453149999997</v>
      </c>
      <c r="I137" s="3">
        <f>表格1[[#This Row],[length(BM)]]*2</f>
        <v>11.866490629999999</v>
      </c>
    </row>
    <row r="138" spans="1:9" x14ac:dyDescent="0.25">
      <c r="A138">
        <v>137</v>
      </c>
      <c r="B138">
        <v>4.1989048794762946E-3</v>
      </c>
      <c r="C138">
        <v>0.2405795281708793</v>
      </c>
      <c r="D138">
        <v>2.7261877909623511</v>
      </c>
      <c r="E138">
        <v>7.4320998715921824</v>
      </c>
      <c r="F138">
        <f>2.464/(2*SIN(表格1[[#This Row],[theta_rad]]/2))</f>
        <v>586.82010686651768</v>
      </c>
      <c r="G138">
        <f>表格1[[#This Row],[Morie Lattice]]/3^0.5</f>
        <v>338.80074666526895</v>
      </c>
      <c r="H138" s="5">
        <v>5.9767121850000002</v>
      </c>
      <c r="I138">
        <f>表格1[[#This Row],[length(BM)]]*2</f>
        <v>11.95342437</v>
      </c>
    </row>
    <row r="139" spans="1:9" x14ac:dyDescent="0.25">
      <c r="A139">
        <v>138</v>
      </c>
      <c r="B139">
        <v>4.1685879648521284E-3</v>
      </c>
      <c r="C139">
        <v>0.2388424969150561</v>
      </c>
      <c r="D139">
        <v>2.7460145241899321</v>
      </c>
      <c r="E139">
        <v>7.5405957670620563</v>
      </c>
      <c r="F139">
        <f>2.464/(2*SIN(表格1[[#This Row],[theta_rad]]/2))</f>
        <v>591.08787071976133</v>
      </c>
      <c r="G139">
        <f>表格1[[#This Row],[Morie Lattice]]/3^0.5</f>
        <v>341.26474127477695</v>
      </c>
      <c r="H139" s="5">
        <v>6.0201790549999998</v>
      </c>
      <c r="I139">
        <f>表格1[[#This Row],[length(BM)]]*2</f>
        <v>12.04035811</v>
      </c>
    </row>
    <row r="140" spans="1:9" x14ac:dyDescent="0.25">
      <c r="A140">
        <v>139</v>
      </c>
      <c r="B140">
        <v>4.1387056994687029E-3</v>
      </c>
      <c r="C140">
        <v>0.23713036922629599</v>
      </c>
      <c r="D140">
        <v>2.7658412580329679</v>
      </c>
      <c r="E140">
        <v>7.6498778646373928</v>
      </c>
      <c r="F140">
        <f>2.464/(2*SIN(表格1[[#This Row],[theta_rad]]/2))</f>
        <v>595.35563470548345</v>
      </c>
      <c r="G140">
        <f>表格1[[#This Row],[Morie Lattice]]/3^0.5</f>
        <v>343.72873596077142</v>
      </c>
      <c r="H140" s="5">
        <v>6.0636459260000004</v>
      </c>
      <c r="I140">
        <f>表格1[[#This Row],[length(BM)]]*2</f>
        <v>12.127291852000001</v>
      </c>
    </row>
    <row r="141" spans="1:9" x14ac:dyDescent="0.25">
      <c r="A141">
        <v>140</v>
      </c>
      <c r="B141">
        <v>4.1092488025996562E-3</v>
      </c>
      <c r="C141">
        <v>0.23544261335814751</v>
      </c>
      <c r="D141">
        <v>2.785667992486486</v>
      </c>
      <c r="E141">
        <v>7.7599461643636856</v>
      </c>
      <c r="F141">
        <f>2.464/(2*SIN(表格1[[#This Row],[theta_rad]]/2))</f>
        <v>599.62339882261358</v>
      </c>
      <c r="G141">
        <f>表格1[[#This Row],[Morie Lattice]]/3^0.5</f>
        <v>346.19273072263428</v>
      </c>
      <c r="H141" s="5">
        <v>6.1071127990000003</v>
      </c>
      <c r="I141">
        <f>表格1[[#This Row],[length(BM)]]*2</f>
        <v>12.214225598000001</v>
      </c>
    </row>
    <row r="142" spans="1:9" x14ac:dyDescent="0.25">
      <c r="A142">
        <v>141</v>
      </c>
      <c r="B142">
        <v>4.0802082558908286E-3</v>
      </c>
      <c r="C142">
        <v>0.2337787125969791</v>
      </c>
      <c r="D142">
        <v>2.805494727531443</v>
      </c>
      <c r="E142">
        <v>7.8708006662067236</v>
      </c>
      <c r="F142">
        <f>2.464/(2*SIN(表格1[[#This Row],[theta_rad]]/2))</f>
        <v>603.89116306705262</v>
      </c>
      <c r="G142">
        <f>表格1[[#This Row],[Morie Lattice]]/3^0.5</f>
        <v>348.65672555799904</v>
      </c>
      <c r="H142" s="5">
        <v>6.1505796720000001</v>
      </c>
      <c r="I142">
        <f>表格1[[#This Row],[length(BM)]]*2</f>
        <v>12.301159344</v>
      </c>
    </row>
    <row r="143" spans="1:9" x14ac:dyDescent="0.25">
      <c r="A143">
        <v>142</v>
      </c>
      <c r="B143">
        <v>4.0515752940990064E-3</v>
      </c>
      <c r="C143">
        <v>0.23213816473134841</v>
      </c>
      <c r="D143">
        <v>2.825321463172747</v>
      </c>
      <c r="E143">
        <v>7.9824413702645893</v>
      </c>
      <c r="F143">
        <f>2.464/(2*SIN(表格1[[#This Row],[theta_rad]]/2))</f>
        <v>608.15892743985739</v>
      </c>
      <c r="G143">
        <f>表格1[[#This Row],[Morie Lattice]]/3^0.5</f>
        <v>351.12072046747579</v>
      </c>
      <c r="H143" s="5">
        <v>6.194046546</v>
      </c>
      <c r="I143">
        <f>表格1[[#This Row],[length(BM)]]*2</f>
        <v>12.388093092</v>
      </c>
    </row>
    <row r="144" spans="1:9" x14ac:dyDescent="0.25">
      <c r="A144">
        <v>143</v>
      </c>
      <c r="B144">
        <v>4.0233413963547474E-3</v>
      </c>
      <c r="C144">
        <v>0.2305204815513984</v>
      </c>
      <c r="D144">
        <v>2.8451481993821321</v>
      </c>
      <c r="E144">
        <v>8.0948682764473858</v>
      </c>
      <c r="F144">
        <f>2.464/(2*SIN(表格1[[#This Row],[theta_rad]]/2))</f>
        <v>612.42669193494316</v>
      </c>
      <c r="G144">
        <f>表格1[[#This Row],[Morie Lattice]]/3^0.5</f>
        <v>353.58471544755145</v>
      </c>
      <c r="H144" s="5">
        <v>6.2375134210000001</v>
      </c>
      <c r="I144">
        <f>表格1[[#This Row],[length(BM)]]*2</f>
        <v>12.475026842</v>
      </c>
    </row>
    <row r="145" spans="1:9" x14ac:dyDescent="0.25">
      <c r="A145">
        <v>144</v>
      </c>
      <c r="B145">
        <v>3.9954982776527473E-3</v>
      </c>
      <c r="C145">
        <v>0.228925188361292</v>
      </c>
      <c r="D145">
        <v>2.8649749361355799</v>
      </c>
      <c r="E145">
        <v>8.2080813846850695</v>
      </c>
      <c r="F145">
        <f>2.464/(2*SIN(表格1[[#This Row],[theta_rad]]/2))</f>
        <v>616.69445654714025</v>
      </c>
      <c r="G145">
        <f>表格1[[#This Row],[Morie Lattice]]/3^0.5</f>
        <v>356.04871049524144</v>
      </c>
      <c r="H145" s="5">
        <v>6.2809802960000001</v>
      </c>
      <c r="I145">
        <f>表格1[[#This Row],[length(BM)]]*2</f>
        <v>12.561960592</v>
      </c>
    </row>
    <row r="146" spans="1:9" x14ac:dyDescent="0.25">
      <c r="A146">
        <v>145</v>
      </c>
      <c r="B146">
        <v>3.9680378807014291E-3</v>
      </c>
      <c r="C146">
        <v>0.22735182351222749</v>
      </c>
      <c r="D146">
        <v>2.884801673446304</v>
      </c>
      <c r="E146">
        <v>8.3220806951185988</v>
      </c>
      <c r="F146">
        <f>2.464/(2*SIN(表格1[[#This Row],[theta_rad]]/2))</f>
        <v>620.96222127929275</v>
      </c>
      <c r="G146">
        <f>表格1[[#This Row],[Morie Lattice]]/3^0.5</f>
        <v>358.51270561218763</v>
      </c>
      <c r="H146" s="5">
        <v>6.3244471730000003</v>
      </c>
      <c r="I146">
        <f>表格1[[#This Row],[length(BM)]]*2</f>
        <v>12.648894346000001</v>
      </c>
    </row>
    <row r="147" spans="1:9" x14ac:dyDescent="0.25">
      <c r="A147">
        <v>146</v>
      </c>
      <c r="B147">
        <v>3.9409523682403351E-3</v>
      </c>
      <c r="C147">
        <v>0.22579993796225789</v>
      </c>
      <c r="D147">
        <v>2.90462841130033</v>
      </c>
      <c r="E147">
        <v>8.4368662077330825</v>
      </c>
      <c r="F147">
        <f>2.464/(2*SIN(表格1[[#This Row],[theta_rad]]/2))</f>
        <v>625.22998612839262</v>
      </c>
      <c r="G147">
        <f>表格1[[#This Row],[Morie Lattice]]/3^0.5</f>
        <v>360.97670079665346</v>
      </c>
      <c r="H147" s="5">
        <v>6.3679140500000004</v>
      </c>
      <c r="I147">
        <f>表格1[[#This Row],[length(BM)]]*2</f>
        <v>12.735828100000001</v>
      </c>
    </row>
    <row r="148" spans="1:9" x14ac:dyDescent="0.25">
      <c r="A148">
        <v>147</v>
      </c>
      <c r="B148">
        <v>3.9142341155687056E-3</v>
      </c>
      <c r="C148">
        <v>0.22426909484820939</v>
      </c>
      <c r="D148">
        <v>2.924455149665079</v>
      </c>
      <c r="E148">
        <v>8.5524379224026017</v>
      </c>
      <c r="F148">
        <f>2.464/(2*SIN(表格1[[#This Row],[theta_rad]]/2))</f>
        <v>629.49775108742699</v>
      </c>
      <c r="G148">
        <f>表格1[[#This Row],[Morie Lattice]]/3^0.5</f>
        <v>363.44069604459003</v>
      </c>
      <c r="H148" s="5">
        <v>6.4113809279999998</v>
      </c>
      <c r="I148">
        <f>表格1[[#This Row],[length(BM)]]*2</f>
        <v>12.822761856</v>
      </c>
    </row>
    <row r="149" spans="1:9" x14ac:dyDescent="0.25">
      <c r="A149">
        <v>148</v>
      </c>
      <c r="B149">
        <v>3.887875703297699E-3</v>
      </c>
      <c r="C149">
        <v>0.22275886907041481</v>
      </c>
      <c r="D149">
        <v>2.944281888557593</v>
      </c>
      <c r="E149">
        <v>8.6687958392882667</v>
      </c>
      <c r="F149">
        <f>2.464/(2*SIN(表格1[[#This Row],[theta_rad]]/2))</f>
        <v>633.76551616006429</v>
      </c>
      <c r="G149">
        <f>表格1[[#This Row],[Morie Lattice]]/3^0.5</f>
        <v>365.90469135811526</v>
      </c>
      <c r="H149" s="5">
        <v>6.4548478060000001</v>
      </c>
      <c r="I149">
        <f>表格1[[#This Row],[length(BM)]]*2</f>
        <v>12.909695612</v>
      </c>
    </row>
    <row r="150" spans="1:9" x14ac:dyDescent="0.25">
      <c r="A150">
        <v>149</v>
      </c>
      <c r="B150">
        <v>3.8618699106250328E-3</v>
      </c>
      <c r="C150">
        <v>0.2212688469073788</v>
      </c>
      <c r="D150">
        <v>2.964108627937823</v>
      </c>
      <c r="E150">
        <v>8.7859399582154438</v>
      </c>
      <c r="F150">
        <f>2.464/(2*SIN(表格1[[#This Row],[theta_rad]]/2))</f>
        <v>638.03328133768389</v>
      </c>
      <c r="G150">
        <f>表格1[[#This Row],[Morie Lattice]]/3^0.5</f>
        <v>368.36868673225206</v>
      </c>
      <c r="H150" s="5">
        <v>6.4983146859999996</v>
      </c>
      <c r="I150">
        <f>表格1[[#This Row],[length(BM)]]*2</f>
        <v>12.996629371999999</v>
      </c>
    </row>
    <row r="151" spans="1:9" x14ac:dyDescent="0.25">
      <c r="A151">
        <v>150</v>
      </c>
      <c r="B151">
        <v>3.8362097085768718E-3</v>
      </c>
      <c r="C151">
        <v>0.21979862562856631</v>
      </c>
      <c r="D151">
        <v>2.983935367831597</v>
      </c>
      <c r="E151">
        <v>8.9038702793962852</v>
      </c>
      <c r="F151">
        <f>2.464/(2*SIN(表格1[[#This Row],[theta_rad]]/2))</f>
        <v>642.30104662584552</v>
      </c>
      <c r="G151">
        <f>表格1[[#This Row],[Morie Lattice]]/3^0.5</f>
        <v>370.83268217021032</v>
      </c>
      <c r="H151" s="5">
        <v>6.541781566</v>
      </c>
      <c r="I151">
        <f>表格1[[#This Row],[length(BM)]]*2</f>
        <v>13.083563132</v>
      </c>
    </row>
    <row r="152" spans="1:9" x14ac:dyDescent="0.25">
      <c r="A152">
        <v>151</v>
      </c>
      <c r="B152">
        <v>3.810888253853346E-3</v>
      </c>
      <c r="C152">
        <v>0.21834781314177659</v>
      </c>
      <c r="D152">
        <v>3.0037621081937429</v>
      </c>
      <c r="E152">
        <v>9.0225868026205216</v>
      </c>
      <c r="F152">
        <f>2.464/(2*SIN(表格1[[#This Row],[theta_rad]]/2))</f>
        <v>646.56881201482565</v>
      </c>
      <c r="G152">
        <f>表格1[[#This Row],[Morie Lattice]]/3^0.5</f>
        <v>373.29667766637613</v>
      </c>
      <c r="H152" s="5">
        <v>6.5852484469999997</v>
      </c>
      <c r="I152">
        <f>表格1[[#This Row],[length(BM)]]*2</f>
        <v>13.170496893999999</v>
      </c>
    </row>
    <row r="153" spans="1:9" x14ac:dyDescent="0.25">
      <c r="A153">
        <v>152</v>
      </c>
      <c r="B153">
        <v>3.7858988825685072E-3</v>
      </c>
      <c r="C153">
        <v>0.2169160276344699</v>
      </c>
      <c r="D153">
        <v>3.0235888490434002</v>
      </c>
      <c r="E153">
        <v>9.1420895280595911</v>
      </c>
      <c r="F153">
        <f>2.464/(2*SIN(表格1[[#This Row],[theta_rad]]/2))</f>
        <v>650.83657750874363</v>
      </c>
      <c r="G153">
        <f>表格1[[#This Row],[Morie Lattice]]/3^0.5</f>
        <v>375.76067322312787</v>
      </c>
      <c r="H153" s="5">
        <v>6.6287153290000003</v>
      </c>
      <c r="I153">
        <f>表格1[[#This Row],[length(BM)]]*2</f>
        <v>13.257430658000001</v>
      </c>
    </row>
    <row r="154" spans="1:9" x14ac:dyDescent="0.25">
      <c r="A154">
        <v>153</v>
      </c>
      <c r="B154">
        <v>3.7612351045526412E-3</v>
      </c>
      <c r="C154">
        <v>0.21550289724731331</v>
      </c>
      <c r="D154">
        <v>3.0434155903476929</v>
      </c>
      <c r="E154">
        <v>9.2623784555713993</v>
      </c>
      <c r="F154">
        <f>2.464/(2*SIN(表格1[[#This Row],[theta_rad]]/2))</f>
        <v>655.10434310052403</v>
      </c>
      <c r="G154">
        <f>表格1[[#This Row],[Morie Lattice]]/3^0.5</f>
        <v>378.22466883638054</v>
      </c>
      <c r="H154" s="5">
        <v>6.672182211</v>
      </c>
      <c r="I154">
        <f>表格1[[#This Row],[length(BM)]]*2</f>
        <v>13.344364422</v>
      </c>
    </row>
    <row r="155" spans="1:9" x14ac:dyDescent="0.25">
      <c r="A155">
        <v>154</v>
      </c>
      <c r="B155">
        <v>3.7368905976117831E-3</v>
      </c>
      <c r="C155">
        <v>0.21410805974527519</v>
      </c>
      <c r="D155">
        <v>3.063242332117269</v>
      </c>
      <c r="E155">
        <v>9.3834535852752428</v>
      </c>
      <c r="F155">
        <f>2.464/(2*SIN(表格1[[#This Row],[theta_rad]]/2))</f>
        <v>659.37210879245742</v>
      </c>
      <c r="G155">
        <f>表格1[[#This Row],[Morie Lattice]]/3^0.5</f>
        <v>380.68866450745651</v>
      </c>
      <c r="H155" s="5">
        <v>6.7156490939999998</v>
      </c>
      <c r="I155">
        <f>表格1[[#This Row],[length(BM)]]*2</f>
        <v>13.431298188</v>
      </c>
    </row>
    <row r="156" spans="1:9" x14ac:dyDescent="0.25">
      <c r="A156">
        <v>155</v>
      </c>
      <c r="B156">
        <v>3.7128592022120759E-3</v>
      </c>
      <c r="C156">
        <v>0.21273116221306179</v>
      </c>
      <c r="D156">
        <v>3.0830690743367151</v>
      </c>
      <c r="E156">
        <v>9.5053149171314466</v>
      </c>
      <c r="F156">
        <f>2.464/(2*SIN(表格1[[#This Row],[theta_rad]]/2))</f>
        <v>663.6398745812271</v>
      </c>
      <c r="G156">
        <f>表格1[[#This Row],[Morie Lattice]]/3^0.5</f>
        <v>383.15266023444099</v>
      </c>
      <c r="H156" s="5">
        <v>6.7591159770000004</v>
      </c>
      <c r="I156">
        <f>表格1[[#This Row],[length(BM)]]*2</f>
        <v>13.518231954000001</v>
      </c>
    </row>
    <row r="157" spans="1:9" x14ac:dyDescent="0.25">
      <c r="A157">
        <v>156</v>
      </c>
      <c r="B157">
        <v>3.689134916237324E-3</v>
      </c>
      <c r="C157">
        <v>0.2113718607547472</v>
      </c>
      <c r="D157">
        <v>3.1028958170021239</v>
      </c>
      <c r="E157">
        <v>9.6279624511692816</v>
      </c>
      <c r="F157">
        <f>2.464/(2*SIN(表格1[[#This Row],[theta_rad]]/2))</f>
        <v>667.90764046599168</v>
      </c>
      <c r="G157">
        <f>表格1[[#This Row],[Morie Lattice]]/3^0.5</f>
        <v>385.61665601684808</v>
      </c>
      <c r="H157" s="5">
        <v>6.8025828620000004</v>
      </c>
      <c r="I157">
        <f>表格1[[#This Row],[length(BM)]]*2</f>
        <v>13.605165724000001</v>
      </c>
    </row>
    <row r="158" spans="1:9" x14ac:dyDescent="0.25">
      <c r="A158">
        <v>157</v>
      </c>
      <c r="B158">
        <v>3.6657118900237781E-3</v>
      </c>
      <c r="C158">
        <v>0.21002982020928671</v>
      </c>
      <c r="D158">
        <v>3.122722560094068</v>
      </c>
      <c r="E158">
        <v>9.7513961873204504</v>
      </c>
      <c r="F158">
        <f>2.464/(2*SIN(表格1[[#This Row],[theta_rad]]/2))</f>
        <v>672.17540644256871</v>
      </c>
      <c r="G158">
        <f>表格1[[#This Row],[Morie Lattice]]/3^0.5</f>
        <v>388.0806518522632</v>
      </c>
      <c r="H158" s="5">
        <v>6.8460497460000003</v>
      </c>
      <c r="I158">
        <f>表格1[[#This Row],[length(BM)]]*2</f>
        <v>13.692099492000001</v>
      </c>
    </row>
    <row r="159" spans="1:9" x14ac:dyDescent="0.25">
      <c r="A159">
        <v>158</v>
      </c>
      <c r="B159">
        <v>3.642584421519897E-3</v>
      </c>
      <c r="C159">
        <v>0.20870471387319259</v>
      </c>
      <c r="D159">
        <v>3.1425493036038681</v>
      </c>
      <c r="E159">
        <v>9.8756161255811534</v>
      </c>
      <c r="F159">
        <f>2.464/(2*SIN(表格1[[#This Row],[theta_rad]]/2))</f>
        <v>676.4431725090908</v>
      </c>
      <c r="G159">
        <f>表格1[[#This Row],[Morie Lattice]]/3^0.5</f>
        <v>390.54464773960808</v>
      </c>
      <c r="H159" s="5">
        <v>6.8895166320000003</v>
      </c>
      <c r="I159">
        <f>表格1[[#This Row],[length(BM)]]*2</f>
        <v>13.779033264000001</v>
      </c>
    </row>
    <row r="160" spans="1:9" x14ac:dyDescent="0.25">
      <c r="A160">
        <v>159</v>
      </c>
      <c r="B160">
        <v>3.6197469516858921E-3</v>
      </c>
      <c r="C160">
        <v>0.2073962232369467</v>
      </c>
      <c r="D160">
        <v>3.1623760475104761</v>
      </c>
      <c r="E160">
        <v>10.00062226586798</v>
      </c>
      <c r="F160">
        <f>2.464/(2*SIN(表格1[[#This Row],[theta_rad]]/2))</f>
        <v>680.71093866102706</v>
      </c>
      <c r="G160">
        <f>表格1[[#This Row],[Morie Lattice]]/3^0.5</f>
        <v>393.00864367626684</v>
      </c>
      <c r="H160" s="5">
        <v>6.9329835180000003</v>
      </c>
      <c r="I160">
        <f>表格1[[#This Row],[length(BM)]]*2</f>
        <v>13.865967036000001</v>
      </c>
    </row>
    <row r="161" spans="1:9" x14ac:dyDescent="0.25">
      <c r="A161">
        <v>160</v>
      </c>
      <c r="B161">
        <v>3.597194059943987E-3</v>
      </c>
      <c r="C161">
        <v>0.20610403772432009</v>
      </c>
      <c r="D161">
        <v>3.1822027918637321</v>
      </c>
      <c r="E161">
        <v>10.12641460854533</v>
      </c>
      <c r="F161">
        <f>2.464/(2*SIN(表格1[[#This Row],[theta_rad]]/2))</f>
        <v>684.97870490910532</v>
      </c>
      <c r="G161">
        <f>表格1[[#This Row],[Morie Lattice]]/3^0.5</f>
        <v>395.4726396684332</v>
      </c>
      <c r="H161" s="5">
        <v>6.9764504049999996</v>
      </c>
      <c r="I161">
        <f>表格1[[#This Row],[length(BM)]]*2</f>
        <v>13.952900809999999</v>
      </c>
    </row>
    <row r="162" spans="1:9" x14ac:dyDescent="0.25">
      <c r="A162">
        <v>161</v>
      </c>
      <c r="B162">
        <v>3.574920460100947E-3</v>
      </c>
      <c r="C162">
        <v>0.20482785445875071</v>
      </c>
      <c r="D162">
        <v>3.2020295365991451</v>
      </c>
      <c r="E162">
        <v>10.252993153253341</v>
      </c>
      <c r="F162">
        <f>2.464/(2*SIN(表格1[[#This Row],[theta_rad]]/2))</f>
        <v>689.24647123944442</v>
      </c>
      <c r="G162">
        <f>表格1[[#This Row],[Morie Lattice]]/3^0.5</f>
        <v>397.93663570809292</v>
      </c>
      <c r="H162" s="5">
        <v>7.0199172919999997</v>
      </c>
      <c r="I162">
        <f>表格1[[#This Row],[length(BM)]]*2</f>
        <v>14.039834583999999</v>
      </c>
    </row>
    <row r="163" spans="1:9" x14ac:dyDescent="0.25">
      <c r="A163">
        <v>162</v>
      </c>
      <c r="B163">
        <v>3.552920996028365E-3</v>
      </c>
      <c r="C163">
        <v>0.20356737801584199</v>
      </c>
      <c r="D163">
        <v>3.2218562817019119</v>
      </c>
      <c r="E163">
        <v>10.380357899942069</v>
      </c>
      <c r="F163">
        <f>2.464/(2*SIN(表格1[[#This Row],[theta_rad]]/2))</f>
        <v>693.51423764885749</v>
      </c>
      <c r="G163">
        <f>表格1[[#This Row],[Morie Lattice]]/3^0.5</f>
        <v>400.40063179340598</v>
      </c>
      <c r="H163" s="5">
        <v>7.0633841799999999</v>
      </c>
      <c r="I163">
        <f>表格1[[#This Row],[length(BM)]]*2</f>
        <v>14.12676836</v>
      </c>
    </row>
    <row r="164" spans="1:9" x14ac:dyDescent="0.25">
      <c r="A164">
        <v>163</v>
      </c>
      <c r="B164">
        <v>3.5311906376699871E-3</v>
      </c>
      <c r="C164">
        <v>0.20232232019460011</v>
      </c>
      <c r="D164">
        <v>3.241683027222412</v>
      </c>
      <c r="E164">
        <v>10.50850884898186</v>
      </c>
      <c r="F164">
        <f>2.464/(2*SIN(表格1[[#This Row],[theta_rad]]/2))</f>
        <v>697.78200414818855</v>
      </c>
      <c r="G164">
        <f>表格1[[#This Row],[Morie Lattice]]/3^0.5</f>
        <v>402.86462793063322</v>
      </c>
      <c r="H164" s="5">
        <v>7.1068510680000001</v>
      </c>
      <c r="I164">
        <f>表格1[[#This Row],[length(BM)]]*2</f>
        <v>14.213702136</v>
      </c>
    </row>
    <row r="165" spans="1:9" x14ac:dyDescent="0.25">
      <c r="A165">
        <v>164</v>
      </c>
      <c r="B165">
        <v>3.509724477403798E-3</v>
      </c>
      <c r="C165">
        <v>0.2010923998089961</v>
      </c>
      <c r="D165">
        <v>3.2615097730978708</v>
      </c>
      <c r="E165">
        <v>10.637446000012931</v>
      </c>
      <c r="F165">
        <f>2.464/(2*SIN(表格1[[#This Row],[theta_rad]]/2))</f>
        <v>702.04977072392603</v>
      </c>
      <c r="G165">
        <f>表格1[[#This Row],[Morie Lattice]]/3^0.5</f>
        <v>405.32862411197374</v>
      </c>
      <c r="H165" s="5">
        <v>7.1503179570000004</v>
      </c>
      <c r="I165">
        <f>表格1[[#This Row],[length(BM)]]*2</f>
        <v>14.300635914000001</v>
      </c>
    </row>
    <row r="166" spans="1:9" s="3" customFormat="1" ht="16.5" x14ac:dyDescent="0.25">
      <c r="A166" s="3">
        <v>165</v>
      </c>
      <c r="B166" s="3">
        <v>3.488517726118454E-3</v>
      </c>
      <c r="C166" s="3">
        <v>0.19987734246316219</v>
      </c>
      <c r="D166" s="3">
        <v>3.281336519360206</v>
      </c>
      <c r="E166" s="3">
        <v>10.767169353286951</v>
      </c>
      <c r="F166" s="3">
        <f>2.464/(2*SIN(表格1[[#This Row],[theta_rad]]/2))</f>
        <v>706.31753738293958</v>
      </c>
      <c r="G166" s="3">
        <f>表格1[[#This Row],[Morie Lattice]]/3^0.5</f>
        <v>407.79262034139373</v>
      </c>
      <c r="H166" s="6">
        <v>7.1937848469999999</v>
      </c>
      <c r="I166" s="3">
        <f>表格1[[#This Row],[length(BM)]]*2</f>
        <v>14.387569694</v>
      </c>
    </row>
    <row r="167" spans="1:9" x14ac:dyDescent="0.25">
      <c r="A167">
        <v>166</v>
      </c>
      <c r="B167">
        <v>3.4675657098042359E-3</v>
      </c>
      <c r="C167">
        <v>0.19867688035606831</v>
      </c>
      <c r="D167">
        <v>3.301163265996288</v>
      </c>
      <c r="E167">
        <v>10.897678908763281</v>
      </c>
      <c r="F167">
        <f>2.464/(2*SIN(表格1[[#This Row],[theta_rad]]/2))</f>
        <v>710.58530412240316</v>
      </c>
      <c r="G167">
        <f>表格1[[#This Row],[Morie Lattice]]/3^0.5</f>
        <v>410.25661661726156</v>
      </c>
      <c r="H167" s="5">
        <v>7.2372517370000002</v>
      </c>
      <c r="I167">
        <f>表格1[[#This Row],[length(BM)]]*2</f>
        <v>14.474503474</v>
      </c>
    </row>
    <row r="168" spans="1:9" x14ac:dyDescent="0.25">
      <c r="A168">
        <v>167</v>
      </c>
      <c r="B168">
        <v>3.4468638660801331E-3</v>
      </c>
      <c r="C168">
        <v>0.1974907520825378</v>
      </c>
      <c r="D168">
        <v>3.3209900129822669</v>
      </c>
      <c r="E168">
        <v>11.02897466632796</v>
      </c>
      <c r="F168">
        <f>2.464/(2*SIN(表格1[[#This Row],[theta_rad]]/2))</f>
        <v>714.85307093718325</v>
      </c>
      <c r="G168">
        <f>表格1[[#This Row],[Morie Lattice]]/3^0.5</f>
        <v>412.72061293661341</v>
      </c>
      <c r="H168" s="5">
        <v>7.2807186269999997</v>
      </c>
      <c r="I168">
        <f>表格1[[#This Row],[length(BM)]]*2</f>
        <v>14.561437253999999</v>
      </c>
    </row>
    <row r="169" spans="1:9" x14ac:dyDescent="0.25">
      <c r="A169">
        <v>168</v>
      </c>
      <c r="B169">
        <v>3.4264077408595541E-3</v>
      </c>
      <c r="C169">
        <v>0.19631870244220759</v>
      </c>
      <c r="D169">
        <v>3.3408167603045862</v>
      </c>
      <c r="E169">
        <v>11.16105662593203</v>
      </c>
      <c r="F169">
        <f>2.464/(2*SIN(表格1[[#This Row],[theta_rad]]/2))</f>
        <v>719.1208378243615</v>
      </c>
      <c r="G169">
        <f>表格1[[#This Row],[Morie Lattice]]/3^0.5</f>
        <v>415.18460929776433</v>
      </c>
      <c r="H169" s="5">
        <v>7.3241855180000002</v>
      </c>
      <c r="I169">
        <f>表格1[[#This Row],[length(BM)]]*2</f>
        <v>14.648371036</v>
      </c>
    </row>
    <row r="170" spans="1:9" x14ac:dyDescent="0.25">
      <c r="A170">
        <v>169</v>
      </c>
      <c r="B170">
        <v>3.4061929851384289E-3</v>
      </c>
      <c r="C170">
        <v>0.19516048225549909</v>
      </c>
      <c r="D170">
        <v>3.3606435079774459</v>
      </c>
      <c r="E170">
        <v>11.29392478771096</v>
      </c>
      <c r="F170">
        <f>2.464/(2*SIN(表格1[[#This Row],[theta_rad]]/2))</f>
        <v>723.38860478699473</v>
      </c>
      <c r="G170">
        <f>表格1[[#This Row],[Morie Lattice]]/3^0.5</f>
        <v>417.64860570247924</v>
      </c>
      <c r="H170" s="5">
        <v>7.3676524099999998</v>
      </c>
      <c r="I170">
        <f>表格1[[#This Row],[length(BM)]]*2</f>
        <v>14.73530482</v>
      </c>
    </row>
    <row r="171" spans="1:9" x14ac:dyDescent="0.25">
      <c r="A171">
        <v>170</v>
      </c>
      <c r="B171">
        <v>3.386215351953535E-3</v>
      </c>
      <c r="C171">
        <v>0.1940158481893442</v>
      </c>
      <c r="D171">
        <v>3.3804702560037838</v>
      </c>
      <c r="E171">
        <v>11.42757915172629</v>
      </c>
      <c r="F171">
        <f>2.464/(2*SIN(表格1[[#This Row],[theta_rad]]/2))</f>
        <v>727.65637182571515</v>
      </c>
      <c r="G171">
        <f>表格1[[#This Row],[Morie Lattice]]/3^0.5</f>
        <v>420.1126021511231</v>
      </c>
      <c r="H171" s="5">
        <v>7.4111193020000004</v>
      </c>
      <c r="I171">
        <f>表格1[[#This Row],[length(BM)]]*2</f>
        <v>14.822238604000001</v>
      </c>
    </row>
    <row r="172" spans="1:9" x14ac:dyDescent="0.25">
      <c r="A172">
        <v>171</v>
      </c>
      <c r="B172">
        <v>3.366470693428711E-3</v>
      </c>
      <c r="C172">
        <v>0.19288456258794481</v>
      </c>
      <c r="D172">
        <v>3.400297004353559</v>
      </c>
      <c r="E172">
        <v>11.56201971781578</v>
      </c>
      <c r="F172">
        <f>2.464/(2*SIN(表格1[[#This Row],[theta_rad]]/2))</f>
        <v>731.92413893405615</v>
      </c>
      <c r="G172">
        <f>表格1[[#This Row],[Morie Lattice]]/3^0.5</f>
        <v>422.57659863996241</v>
      </c>
      <c r="H172" s="5">
        <v>7.454586194</v>
      </c>
      <c r="I172">
        <f>表格1[[#This Row],[length(BM)]]*2</f>
        <v>14.909172388</v>
      </c>
    </row>
    <row r="173" spans="1:9" x14ac:dyDescent="0.25">
      <c r="A173">
        <v>172</v>
      </c>
      <c r="B173">
        <v>3.3469549578551859E-3</v>
      </c>
      <c r="C173">
        <v>0.1917663933054885</v>
      </c>
      <c r="D173">
        <v>3.4201237530114081</v>
      </c>
      <c r="E173">
        <v>11.69724648591284</v>
      </c>
      <c r="F173">
        <f>2.464/(2*SIN(表格1[[#This Row],[theta_rad]]/2))</f>
        <v>736.19190610871146</v>
      </c>
      <c r="G173">
        <f>表格1[[#This Row],[Morie Lattice]]/3^0.5</f>
        <v>425.04059516708827</v>
      </c>
      <c r="H173" s="5">
        <v>7.4980530869999997</v>
      </c>
      <c r="I173">
        <f>表格1[[#This Row],[length(BM)]]*2</f>
        <v>14.996106173999999</v>
      </c>
    </row>
    <row r="174" spans="1:9" x14ac:dyDescent="0.25">
      <c r="A174">
        <v>173</v>
      </c>
      <c r="B174">
        <v>3.3276641868828232E-3</v>
      </c>
      <c r="C174">
        <v>0.19066111354521861</v>
      </c>
      <c r="D174">
        <v>3.439950502015733</v>
      </c>
      <c r="E174">
        <v>11.8332594563183</v>
      </c>
      <c r="F174">
        <f>2.464/(2*SIN(表格1[[#This Row],[theta_rad]]/2))</f>
        <v>740.45967335794649</v>
      </c>
      <c r="G174">
        <f>表格1[[#This Row],[Morie Lattice]]/3^0.5</f>
        <v>427.50459173727279</v>
      </c>
      <c r="H174" s="5">
        <v>7.5415199810000004</v>
      </c>
      <c r="I174">
        <f>表格1[[#This Row],[length(BM)]]*2</f>
        <v>15.083039962000001</v>
      </c>
    </row>
    <row r="175" spans="1:9" x14ac:dyDescent="0.25">
      <c r="A175">
        <v>174</v>
      </c>
      <c r="B175">
        <v>3.3085945129692801E-3</v>
      </c>
      <c r="C175">
        <v>0.18956850171328191</v>
      </c>
      <c r="D175">
        <v>3.4597772513303831</v>
      </c>
      <c r="E175">
        <v>11.970058628823219</v>
      </c>
      <c r="F175">
        <f>2.464/(2*SIN(表格1[[#This Row],[theta_rad]]/2))</f>
        <v>744.72744067397969</v>
      </c>
      <c r="G175">
        <f>表格1[[#This Row],[Morie Lattice]]/3^0.5</f>
        <v>429.96858834602324</v>
      </c>
      <c r="H175" s="5">
        <v>7.5849868750000002</v>
      </c>
      <c r="I175">
        <f>表格1[[#This Row],[length(BM)]]*2</f>
        <v>15.16997375</v>
      </c>
    </row>
    <row r="176" spans="1:9" x14ac:dyDescent="0.25">
      <c r="A176">
        <v>175</v>
      </c>
      <c r="B176">
        <v>3.2897421566666701E-3</v>
      </c>
      <c r="C176">
        <v>0.18848834126326541</v>
      </c>
      <c r="D176">
        <v>3.479604000976007</v>
      </c>
      <c r="E176">
        <v>12.10764400360824</v>
      </c>
      <c r="F176">
        <f>2.464/(2*SIN(表格1[[#This Row],[theta_rad]]/2))</f>
        <v>748.99520806125645</v>
      </c>
      <c r="G176">
        <f>表格1[[#This Row],[Morie Lattice]]/3^0.5</f>
        <v>432.43258499590621</v>
      </c>
      <c r="H176" s="5">
        <v>7.6284537690000001</v>
      </c>
      <c r="I176">
        <f>表格1[[#This Row],[length(BM)]]*2</f>
        <v>15.256907538</v>
      </c>
    </row>
    <row r="177" spans="1:9" x14ac:dyDescent="0.25">
      <c r="A177">
        <v>176</v>
      </c>
      <c r="B177">
        <v>3.2711034242557079E-3</v>
      </c>
      <c r="C177">
        <v>0.18742042056064359</v>
      </c>
      <c r="D177">
        <v>3.499430750892909</v>
      </c>
      <c r="E177">
        <v>12.246015580294911</v>
      </c>
      <c r="F177">
        <f>2.464/(2*SIN(表格1[[#This Row],[theta_rad]]/2))</f>
        <v>753.26297550692664</v>
      </c>
      <c r="G177">
        <f>表格1[[#This Row],[Morie Lattice]]/3^0.5</f>
        <v>434.89658167950262</v>
      </c>
      <c r="H177" s="5">
        <v>7.6719206639999999</v>
      </c>
      <c r="I177">
        <f>表格1[[#This Row],[length(BM)]]*2</f>
        <v>15.343841328</v>
      </c>
    </row>
    <row r="178" spans="1:9" x14ac:dyDescent="0.25">
      <c r="A178">
        <v>177</v>
      </c>
      <c r="B178">
        <v>3.2526747051340962E-3</v>
      </c>
      <c r="C178">
        <v>0.18636453273314321</v>
      </c>
      <c r="D178">
        <v>3.5192575011516061</v>
      </c>
      <c r="E178">
        <v>12.385173359411841</v>
      </c>
      <c r="F178">
        <f>2.464/(2*SIN(表格1[[#This Row],[theta_rad]]/2))</f>
        <v>757.53074302616881</v>
      </c>
      <c r="G178">
        <f>表格1[[#This Row],[Morie Lattice]]/3^0.5</f>
        <v>437.36057840557578</v>
      </c>
      <c r="H178" s="5">
        <v>7.7153875599999999</v>
      </c>
      <c r="I178">
        <f>表格1[[#This Row],[length(BM)]]*2</f>
        <v>15.43077512</v>
      </c>
    </row>
    <row r="179" spans="1:9" x14ac:dyDescent="0.25">
      <c r="A179">
        <v>178</v>
      </c>
      <c r="B179">
        <v>3.2344524697456179E-3</v>
      </c>
      <c r="C179">
        <v>0.1853204755520895</v>
      </c>
      <c r="D179">
        <v>3.5390842516749981</v>
      </c>
      <c r="E179">
        <v>12.52511734045398</v>
      </c>
      <c r="F179">
        <f>2.464/(2*SIN(表格1[[#This Row],[theta_rad]]/2))</f>
        <v>761.79851060238775</v>
      </c>
      <c r="G179">
        <f>表格1[[#This Row],[Morie Lattice]]/3^0.5</f>
        <v>439.82457516454457</v>
      </c>
      <c r="H179" s="5">
        <v>7.7588544549999998</v>
      </c>
      <c r="I179">
        <f>表格1[[#This Row],[length(BM)]]*2</f>
        <v>15.51770891</v>
      </c>
    </row>
    <row r="180" spans="1:9" x14ac:dyDescent="0.25">
      <c r="A180">
        <v>179</v>
      </c>
      <c r="B180">
        <v>3.2164332671115142E-3</v>
      </c>
      <c r="C180">
        <v>0.18428805129096429</v>
      </c>
      <c r="D180">
        <v>3.5589110024677511</v>
      </c>
      <c r="E180">
        <v>12.66584752348601</v>
      </c>
      <c r="F180">
        <f>2.464/(2*SIN(表格1[[#This Row],[theta_rad]]/2))</f>
        <v>766.06627823658721</v>
      </c>
      <c r="G180">
        <f>表格1[[#This Row],[Morie Lattice]]/3^0.5</f>
        <v>442.28857195698839</v>
      </c>
      <c r="H180" s="5">
        <v>7.8023213509999998</v>
      </c>
      <c r="I180">
        <f>表格1[[#This Row],[length(BM)]]*2</f>
        <v>15.604642702</v>
      </c>
    </row>
    <row r="181" spans="1:9" x14ac:dyDescent="0.25">
      <c r="A181">
        <v>180</v>
      </c>
      <c r="B181">
        <v>3.1986137226834152E-3</v>
      </c>
      <c r="C181">
        <v>0.1832670666023884</v>
      </c>
      <c r="D181">
        <v>3.5787377535855049</v>
      </c>
      <c r="E181">
        <v>12.80736390893823</v>
      </c>
      <c r="F181">
        <f>2.464/(2*SIN(表格1[[#This Row],[theta_rad]]/2))</f>
        <v>770.3340459407442</v>
      </c>
      <c r="G181">
        <f>表格1[[#This Row],[Morie Lattice]]/3^0.5</f>
        <v>444.75256878982225</v>
      </c>
      <c r="H181" s="5">
        <v>7.8457882479999999</v>
      </c>
      <c r="I181">
        <f>表格1[[#This Row],[length(BM)]]*2</f>
        <v>15.691576496</v>
      </c>
    </row>
    <row r="182" spans="1:9" x14ac:dyDescent="0.25">
      <c r="A182">
        <v>181</v>
      </c>
      <c r="B182">
        <v>3.1809905363970048E-3</v>
      </c>
      <c r="C182">
        <v>0.18225733240660419</v>
      </c>
      <c r="D182">
        <v>3.5985645049562112</v>
      </c>
      <c r="E182">
        <v>12.949666496330741</v>
      </c>
      <c r="F182">
        <f>2.464/(2*SIN(表格1[[#This Row],[theta_rad]]/2))</f>
        <v>774.60181369934992</v>
      </c>
      <c r="G182">
        <f>表格1[[#This Row],[Morie Lattice]]/3^0.5</f>
        <v>447.21656565409205</v>
      </c>
      <c r="H182" s="5">
        <v>7.8892551449999999</v>
      </c>
      <c r="I182">
        <f>表格1[[#This Row],[length(BM)]]*2</f>
        <v>15.77851029</v>
      </c>
    </row>
    <row r="183" spans="1:9" x14ac:dyDescent="0.25">
      <c r="A183">
        <v>182</v>
      </c>
      <c r="B183">
        <v>3.1635604804134102E-3</v>
      </c>
      <c r="C183">
        <v>0.18125866376206751</v>
      </c>
      <c r="D183">
        <v>3.6183912566258689</v>
      </c>
      <c r="E183">
        <v>13.09275528602654</v>
      </c>
      <c r="F183">
        <f>2.464/(2*SIN(表格1[[#This Row],[theta_rad]]/2))</f>
        <v>778.86958152230591</v>
      </c>
      <c r="G183">
        <f>表格1[[#This Row],[Morie Lattice]]/3^0.5</f>
        <v>449.68056255551448</v>
      </c>
      <c r="H183" s="5">
        <v>7.932722042</v>
      </c>
      <c r="I183">
        <f>表格1[[#This Row],[length(BM)]]*2</f>
        <v>15.865444084</v>
      </c>
    </row>
    <row r="184" spans="1:9" x14ac:dyDescent="0.25">
      <c r="A184">
        <v>183</v>
      </c>
      <c r="B184">
        <v>3.1463203973179118E-3</v>
      </c>
      <c r="C184">
        <v>0.18027087976224071</v>
      </c>
      <c r="D184">
        <v>3.6382180085690359</v>
      </c>
      <c r="E184">
        <v>13.23663027787604</v>
      </c>
      <c r="F184">
        <f>2.464/(2*SIN(表格1[[#This Row],[theta_rad]]/2))</f>
        <v>783.13734940413565</v>
      </c>
      <c r="G184">
        <f>表格1[[#This Row],[Morie Lattice]]/3^0.5</f>
        <v>452.14455949092775</v>
      </c>
      <c r="H184" s="5">
        <v>7.9761889400000001</v>
      </c>
      <c r="I184">
        <f>表格1[[#This Row],[length(BM)]]*2</f>
        <v>15.95237788</v>
      </c>
    </row>
    <row r="185" spans="1:9" x14ac:dyDescent="0.25">
      <c r="A185">
        <v>184</v>
      </c>
      <c r="B185">
        <v>3.1292671981248592E-3</v>
      </c>
      <c r="C185">
        <v>0.17929380342128279</v>
      </c>
      <c r="D185">
        <v>3.6580447607880608</v>
      </c>
      <c r="E185">
        <v>13.38129147192898</v>
      </c>
      <c r="F185">
        <f>2.464/(2*SIN(表格1[[#This Row],[theta_rad]]/2))</f>
        <v>787.40511734534448</v>
      </c>
      <c r="G185">
        <f>表格1[[#This Row],[Morie Lattice]]/3^0.5</f>
        <v>454.6085564606235</v>
      </c>
      <c r="H185" s="5">
        <v>8.0196558380000003</v>
      </c>
      <c r="I185">
        <f>表格1[[#This Row],[length(BM)]]*2</f>
        <v>16.039311676000001</v>
      </c>
    </row>
    <row r="186" spans="1:9" x14ac:dyDescent="0.25">
      <c r="A186">
        <v>185</v>
      </c>
      <c r="B186">
        <v>3.1123978605142682E-3</v>
      </c>
      <c r="C186">
        <v>0.17832726157301459</v>
      </c>
      <c r="D186">
        <v>3.6778715132180761</v>
      </c>
      <c r="E186">
        <v>13.52673886774102</v>
      </c>
      <c r="F186">
        <f>2.464/(2*SIN(表格1[[#This Row],[theta_rad]]/2))</f>
        <v>791.67288533196961</v>
      </c>
      <c r="G186">
        <f>表格1[[#This Row],[Morie Lattice]]/3^0.5</f>
        <v>457.07255345654039</v>
      </c>
      <c r="H186" s="5">
        <v>8.0631227370000005</v>
      </c>
      <c r="I186">
        <f>表格1[[#This Row],[length(BM)]]*2</f>
        <v>16.126245474000001</v>
      </c>
    </row>
    <row r="187" spans="1:9" x14ac:dyDescent="0.25">
      <c r="A187">
        <v>186</v>
      </c>
      <c r="B187">
        <v>3.0957094268475429E-3</v>
      </c>
      <c r="C187">
        <v>0.17737108475722729</v>
      </c>
      <c r="D187">
        <v>3.697698265960494</v>
      </c>
      <c r="E187">
        <v>13.67297246608724</v>
      </c>
      <c r="F187">
        <f>2.464/(2*SIN(表格1[[#This Row],[theta_rad]]/2))</f>
        <v>795.94065338584039</v>
      </c>
      <c r="G187">
        <f>表格1[[#This Row],[Morie Lattice]]/3^0.5</f>
        <v>459.53655049128162</v>
      </c>
      <c r="H187" s="5">
        <v>8.1065896360000007</v>
      </c>
      <c r="I187">
        <f>表格1[[#This Row],[length(BM)]]*2</f>
        <v>16.213179272000001</v>
      </c>
    </row>
    <row r="188" spans="1:9" x14ac:dyDescent="0.25">
      <c r="A188">
        <v>187</v>
      </c>
      <c r="B188">
        <v>3.0791990027156878E-3</v>
      </c>
      <c r="C188">
        <v>0.17642510713650111</v>
      </c>
      <c r="D188">
        <v>3.717525018957851</v>
      </c>
      <c r="E188">
        <v>13.81999226657757</v>
      </c>
      <c r="F188">
        <f>2.464/(2*SIN(表格1[[#This Row],[theta_rad]]/2))</f>
        <v>800.20842149458781</v>
      </c>
      <c r="G188">
        <f>表格1[[#This Row],[Morie Lattice]]/3^0.5</f>
        <v>462.00054755770583</v>
      </c>
      <c r="H188" s="5">
        <v>8.1500565349999992</v>
      </c>
      <c r="I188">
        <f>表格1[[#This Row],[length(BM)]]*2</f>
        <v>16.300113069999998</v>
      </c>
    </row>
    <row r="189" spans="1:9" x14ac:dyDescent="0.25">
      <c r="A189">
        <v>188</v>
      </c>
      <c r="B189">
        <v>3.0628637551020641E-3</v>
      </c>
      <c r="C189">
        <v>0.1754891663909392</v>
      </c>
      <c r="D189">
        <v>3.7373517721848342</v>
      </c>
      <c r="E189">
        <v>13.967798269053119</v>
      </c>
      <c r="F189">
        <f>2.464/(2*SIN(表格1[[#This Row],[theta_rad]]/2))</f>
        <v>804.4761896527624</v>
      </c>
      <c r="G189">
        <f>表格1[[#This Row],[Morie Lattice]]/3^0.5</f>
        <v>464.4645446526668</v>
      </c>
      <c r="H189" s="5">
        <v>8.1935234349999995</v>
      </c>
      <c r="I189">
        <f>表格1[[#This Row],[length(BM)]]*2</f>
        <v>16.387046869999999</v>
      </c>
    </row>
    <row r="190" spans="1:9" x14ac:dyDescent="0.25">
      <c r="A190">
        <v>189</v>
      </c>
      <c r="B190">
        <v>3.0467009107687502E-3</v>
      </c>
      <c r="C190">
        <v>0.1745631036257134</v>
      </c>
      <c r="D190">
        <v>3.7571785256414949</v>
      </c>
      <c r="E190">
        <v>14.1163904735416</v>
      </c>
      <c r="F190">
        <f>2.464/(2*SIN(表格1[[#This Row],[theta_rad]]/2))</f>
        <v>808.74395786037633</v>
      </c>
      <c r="G190">
        <f>表格1[[#This Row],[Morie Lattice]]/3^0.5</f>
        <v>466.92854177617164</v>
      </c>
      <c r="H190" s="5">
        <v>8.2369903349999998</v>
      </c>
      <c r="I190">
        <f>表格1[[#This Row],[length(BM)]]*2</f>
        <v>16.47398067</v>
      </c>
    </row>
    <row r="191" spans="1:9" x14ac:dyDescent="0.25">
      <c r="A191">
        <v>190</v>
      </c>
      <c r="B191">
        <v>3.030707754695835E-3</v>
      </c>
      <c r="C191">
        <v>0.17364676328164139</v>
      </c>
      <c r="D191">
        <v>3.777005279343626</v>
      </c>
      <c r="E191">
        <v>14.26576888018962</v>
      </c>
      <c r="F191">
        <f>2.464/(2*SIN(表格1[[#This Row],[theta_rad]]/2))</f>
        <v>813.01172612082826</v>
      </c>
      <c r="G191">
        <f>表格1[[#This Row],[Morie Lattice]]/3^0.5</f>
        <v>469.39253893018252</v>
      </c>
      <c r="H191" s="5">
        <v>8.2804572350000001</v>
      </c>
      <c r="I191">
        <f>表格1[[#This Row],[length(BM)]]*2</f>
        <v>16.56091447</v>
      </c>
    </row>
    <row r="192" spans="1:9" x14ac:dyDescent="0.25">
      <c r="A192">
        <v>191</v>
      </c>
      <c r="B192">
        <v>3.0148816285794208E-3</v>
      </c>
      <c r="C192">
        <v>0.17273999304912899</v>
      </c>
      <c r="D192">
        <v>3.7968320333004222</v>
      </c>
      <c r="E192">
        <v>14.41593348909621</v>
      </c>
      <c r="F192">
        <f>2.464/(2*SIN(表格1[[#This Row],[theta_rad]]/2))</f>
        <v>817.27949443609748</v>
      </c>
      <c r="G192">
        <f>表格1[[#This Row],[Morie Lattice]]/3^0.5</f>
        <v>471.85653611584218</v>
      </c>
      <c r="H192" s="5">
        <v>8.3239241360000005</v>
      </c>
      <c r="I192">
        <f>表格1[[#This Row],[length(BM)]]*2</f>
        <v>16.647848272000001</v>
      </c>
    </row>
    <row r="193" spans="1:9" x14ac:dyDescent="0.25">
      <c r="A193">
        <v>192</v>
      </c>
      <c r="B193">
        <v>2.9992199293571698E-3</v>
      </c>
      <c r="C193">
        <v>0.17184264378369071</v>
      </c>
      <c r="D193">
        <v>3.816658787515975</v>
      </c>
      <c r="E193">
        <v>14.56688430032291</v>
      </c>
      <c r="F193">
        <f>2.464/(2*SIN(表格1[[#This Row],[theta_rad]]/2))</f>
        <v>821.54726280706484</v>
      </c>
      <c r="G193">
        <f>表格1[[#This Row],[Morie Lattice]]/3^0.5</f>
        <v>474.32053333365911</v>
      </c>
      <c r="H193" s="5">
        <v>8.3673910370000009</v>
      </c>
      <c r="I193">
        <f>表格1[[#This Row],[length(BM)]]*2</f>
        <v>16.734782074000002</v>
      </c>
    </row>
    <row r="194" spans="1:9" x14ac:dyDescent="0.25">
      <c r="A194">
        <v>193</v>
      </c>
      <c r="B194">
        <v>2.9837201078403452E-3</v>
      </c>
      <c r="C194">
        <v>0.17095456942757059</v>
      </c>
      <c r="D194">
        <v>3.836485541912666</v>
      </c>
      <c r="E194">
        <v>14.71862131330492</v>
      </c>
      <c r="F194">
        <f>2.464/(2*SIN(表格1[[#This Row],[theta_rad]]/2))</f>
        <v>825.81503121702303</v>
      </c>
      <c r="G194">
        <f>表格1[[#This Row],[Morie Lattice]]/3^0.5</f>
        <v>476.78453057398747</v>
      </c>
      <c r="H194" s="5">
        <v>8.4108579389999996</v>
      </c>
      <c r="I194">
        <f>表格1[[#This Row],[length(BM)]]*2</f>
        <v>16.821715877999999</v>
      </c>
    </row>
    <row r="195" spans="1:9" x14ac:dyDescent="0.25">
      <c r="A195">
        <v>194</v>
      </c>
      <c r="B195">
        <v>2.968379667122966E-3</v>
      </c>
      <c r="C195">
        <v>0.17007562691859421</v>
      </c>
      <c r="D195">
        <v>3.856312296596577</v>
      </c>
      <c r="E195">
        <v>14.87114452888197</v>
      </c>
      <c r="F195">
        <f>2.464/(2*SIN(表格1[[#This Row],[theta_rad]]/2))</f>
        <v>830.08279968880629</v>
      </c>
      <c r="G195">
        <f>表格1[[#This Row],[Morie Lattice]]/3^0.5</f>
        <v>479.24852785001053</v>
      </c>
      <c r="H195" s="5">
        <v>8.45432484</v>
      </c>
      <c r="I195">
        <f>表格1[[#This Row],[length(BM)]]*2</f>
        <v>16.90864968</v>
      </c>
    </row>
    <row r="196" spans="1:9" x14ac:dyDescent="0.25">
      <c r="A196">
        <v>195</v>
      </c>
      <c r="B196">
        <v>2.953196161552749E-3</v>
      </c>
      <c r="C196">
        <v>0.16920567613120729</v>
      </c>
      <c r="D196">
        <v>3.876139051457868</v>
      </c>
      <c r="E196">
        <v>15.024453946236701</v>
      </c>
      <c r="F196">
        <f>2.464/(2*SIN(表格1[[#This Row],[theta_rad]]/2))</f>
        <v>834.3505681987707</v>
      </c>
      <c r="G196">
        <f>表格1[[#This Row],[Morie Lattice]]/3^0.5</f>
        <v>481.71252514807748</v>
      </c>
      <c r="H196" s="5">
        <v>8.4977917420000004</v>
      </c>
      <c r="I196">
        <f>表格1[[#This Row],[length(BM)]]*2</f>
        <v>16.995583484000001</v>
      </c>
    </row>
    <row r="197" spans="1:9" x14ac:dyDescent="0.25">
      <c r="A197">
        <v>196</v>
      </c>
      <c r="B197">
        <v>2.9381671951159071E-3</v>
      </c>
      <c r="C197">
        <v>0.16834457978393261</v>
      </c>
      <c r="D197">
        <v>3.8959658065776281</v>
      </c>
      <c r="E197">
        <v>15.17854956602207</v>
      </c>
      <c r="F197">
        <f>2.464/(2*SIN(表格1[[#This Row],[theta_rad]]/2))</f>
        <v>838.61833676437141</v>
      </c>
      <c r="G197">
        <f>表格1[[#This Row],[Morie Lattice]]/3^0.5</f>
        <v>484.17652247826607</v>
      </c>
      <c r="H197" s="5">
        <v>8.5412586449999992</v>
      </c>
      <c r="I197">
        <f>表格1[[#This Row],[length(BM)]]*2</f>
        <v>17.082517289999998</v>
      </c>
    </row>
    <row r="198" spans="1:9" x14ac:dyDescent="0.25">
      <c r="A198">
        <v>197</v>
      </c>
      <c r="B198">
        <v>2.9232904204329262E-3</v>
      </c>
      <c r="C198">
        <v>0.1674922033818306</v>
      </c>
      <c r="D198">
        <v>3.915792561894639</v>
      </c>
      <c r="E198">
        <v>15.33343138778938</v>
      </c>
      <c r="F198">
        <f>2.464/(2*SIN(表格1[[#This Row],[theta_rad]]/2))</f>
        <v>842.88610537243085</v>
      </c>
      <c r="G198">
        <f>表格1[[#This Row],[Morie Lattice]]/3^0.5</f>
        <v>486.64051983296827</v>
      </c>
      <c r="H198" s="5">
        <v>8.5847255479999998</v>
      </c>
      <c r="I198">
        <f>表格1[[#This Row],[length(BM)]]*2</f>
        <v>17.169451096</v>
      </c>
    </row>
    <row r="199" spans="1:9" x14ac:dyDescent="0.25">
      <c r="A199">
        <v>198</v>
      </c>
      <c r="B199">
        <v>2.9085635373977221E-3</v>
      </c>
      <c r="C199">
        <v>0.1666484151385306</v>
      </c>
      <c r="D199">
        <v>3.935619317385481</v>
      </c>
      <c r="E199">
        <v>15.48909941137776</v>
      </c>
      <c r="F199">
        <f>2.464/(2*SIN(表格1[[#This Row],[theta_rad]]/2))</f>
        <v>847.15387401790815</v>
      </c>
      <c r="G199">
        <f>表格1[[#This Row],[Morie Lattice]]/3^0.5</f>
        <v>489.10451720927364</v>
      </c>
      <c r="H199" s="5">
        <v>8.6281924510000003</v>
      </c>
      <c r="I199">
        <f>表格1[[#This Row],[length(BM)]]*2</f>
        <v>17.256384902000001</v>
      </c>
    </row>
    <row r="200" spans="1:9" x14ac:dyDescent="0.25">
      <c r="A200">
        <v>199</v>
      </c>
      <c r="B200">
        <v>2.893984291948841E-3</v>
      </c>
      <c r="C200">
        <v>0.1658130859058245</v>
      </c>
      <c r="D200">
        <v>3.9554460731256582</v>
      </c>
      <c r="E200">
        <v>15.64555363740519</v>
      </c>
      <c r="F200">
        <f>2.464/(2*SIN(表格1[[#This Row],[theta_rad]]/2))</f>
        <v>851.42164271705599</v>
      </c>
      <c r="G200">
        <f>表格1[[#This Row],[Morie Lattice]]/3^0.5</f>
        <v>491.56851461656566</v>
      </c>
      <c r="H200" s="5">
        <v>8.6716593540000009</v>
      </c>
      <c r="I200">
        <f>表格1[[#This Row],[length(BM)]]*2</f>
        <v>17.343318708000002</v>
      </c>
    </row>
    <row r="201" spans="1:9" x14ac:dyDescent="0.25">
      <c r="A201">
        <v>200</v>
      </c>
      <c r="B201">
        <v>2.8795504750572269E-3</v>
      </c>
      <c r="C201">
        <v>0.16498608911567031</v>
      </c>
      <c r="D201">
        <v>3.9752728291043322</v>
      </c>
      <c r="E201">
        <v>15.80279406581516</v>
      </c>
      <c r="F201">
        <f>2.464/(2*SIN(表格1[[#This Row],[theta_rad]]/2))</f>
        <v>855.68941146754059</v>
      </c>
      <c r="G201">
        <f>表格1[[#This Row],[Morie Lattice]]/3^0.5</f>
        <v>494.03251205349704</v>
      </c>
      <c r="H201" s="5">
        <v>8.7151262579999997</v>
      </c>
      <c r="I201">
        <f>表格1[[#This Row],[length(BM)]]*2</f>
        <v>17.430252515999999</v>
      </c>
    </row>
    <row r="202" spans="1:9" x14ac:dyDescent="0.25">
      <c r="A202">
        <v>201</v>
      </c>
      <c r="B202">
        <v>2.8652599215919839E-3</v>
      </c>
      <c r="C202">
        <v>0.16416730071520591</v>
      </c>
      <c r="D202">
        <v>3.995099585245554</v>
      </c>
      <c r="E202">
        <v>15.96082069602919</v>
      </c>
      <c r="F202">
        <f>2.464/(2*SIN(表格1[[#This Row],[theta_rad]]/2))</f>
        <v>859.95718025301426</v>
      </c>
      <c r="G202">
        <f>表格1[[#This Row],[Morie Lattice]]/3^0.5</f>
        <v>496.49650951062932</v>
      </c>
      <c r="H202" s="5">
        <v>8.7585931620000004</v>
      </c>
      <c r="I202">
        <f>表格1[[#This Row],[length(BM)]]*2</f>
        <v>17.517186324000001</v>
      </c>
    </row>
    <row r="203" spans="1:9" x14ac:dyDescent="0.25">
      <c r="A203">
        <v>202</v>
      </c>
      <c r="B203">
        <v>2.8511105091011419E-3</v>
      </c>
      <c r="C203">
        <v>0.1633565990968909</v>
      </c>
      <c r="D203">
        <v>4.0149263415972376</v>
      </c>
      <c r="E203">
        <v>16.119633528451381</v>
      </c>
      <c r="F203">
        <f>2.464/(2*SIN(表格1[[#This Row],[theta_rad]]/2))</f>
        <v>864.22494908379042</v>
      </c>
      <c r="G203">
        <f>表格1[[#This Row],[Morie Lattice]]/3^0.5</f>
        <v>498.96050699391702</v>
      </c>
      <c r="H203" s="5">
        <v>8.8020600659999992</v>
      </c>
      <c r="I203">
        <f>表格1[[#This Row],[length(BM)]]*2</f>
        <v>17.604120131999998</v>
      </c>
    </row>
    <row r="204" spans="1:9" x14ac:dyDescent="0.25">
      <c r="A204">
        <v>203</v>
      </c>
      <c r="B204">
        <v>2.8371001568981719E-3</v>
      </c>
      <c r="C204">
        <v>0.16255386504616889</v>
      </c>
      <c r="D204">
        <v>4.0347530981420689</v>
      </c>
      <c r="E204">
        <v>16.279232562967021</v>
      </c>
      <c r="F204">
        <f>2.464/(2*SIN(表格1[[#This Row],[theta_rad]]/2))</f>
        <v>868.49271795614197</v>
      </c>
      <c r="G204">
        <f>表格1[[#This Row],[Morie Lattice]]/3^0.5</f>
        <v>501.42450450120833</v>
      </c>
      <c r="H204" s="5">
        <v>8.8455269699999999</v>
      </c>
      <c r="I204">
        <f>表格1[[#This Row],[length(BM)]]*2</f>
        <v>17.69105394</v>
      </c>
    </row>
    <row r="205" spans="1:9" x14ac:dyDescent="0.25">
      <c r="A205">
        <v>204</v>
      </c>
      <c r="B205">
        <v>2.8232268249559489E-3</v>
      </c>
      <c r="C205">
        <v>0.16175898167809549</v>
      </c>
      <c r="D205">
        <v>4.0545798549177734</v>
      </c>
      <c r="E205">
        <v>16.439617799905029</v>
      </c>
      <c r="F205">
        <f>2.464/(2*SIN(表格1[[#This Row],[theta_rad]]/2))</f>
        <v>872.76048687818979</v>
      </c>
      <c r="G205">
        <f>表格1[[#This Row],[Morie Lattice]]/3^0.5</f>
        <v>503.88850203719176</v>
      </c>
      <c r="H205" s="5">
        <v>8.8889938750000006</v>
      </c>
      <c r="I205">
        <f>表格1[[#This Row],[length(BM)]]*2</f>
        <v>17.777987750000001</v>
      </c>
    </row>
    <row r="206" spans="1:9" x14ac:dyDescent="0.25">
      <c r="A206">
        <v>205</v>
      </c>
      <c r="B206">
        <v>2.8094885130382908E-3</v>
      </c>
      <c r="C206">
        <v>0.16097183438757939</v>
      </c>
      <c r="D206">
        <v>4.0744066118432647</v>
      </c>
      <c r="E206">
        <v>16.60078923863211</v>
      </c>
      <c r="F206">
        <f>2.464/(2*SIN(表格1[[#This Row],[theta_rad]]/2))</f>
        <v>877.02825583247966</v>
      </c>
      <c r="G206">
        <f>表格1[[#This Row],[Morie Lattice]]/3^0.5</f>
        <v>506.35249959179015</v>
      </c>
      <c r="H206" s="5">
        <v>8.9324607799999995</v>
      </c>
      <c r="I206">
        <f>表格1[[#This Row],[length(BM)]]*2</f>
        <v>17.864921559999999</v>
      </c>
    </row>
    <row r="207" spans="1:9" x14ac:dyDescent="0.25">
      <c r="A207">
        <v>206</v>
      </c>
      <c r="B207">
        <v>2.7958832595631018E-3</v>
      </c>
      <c r="C207">
        <v>0.1601923107842454</v>
      </c>
      <c r="D207">
        <v>4.0942333689696468</v>
      </c>
      <c r="E207">
        <v>16.76274687958454</v>
      </c>
      <c r="F207">
        <f>2.464/(2*SIN(表格1[[#This Row],[theta_rad]]/2))</f>
        <v>881.29602483001202</v>
      </c>
      <c r="G207">
        <f>表格1[[#This Row],[Morie Lattice]]/3^0.5</f>
        <v>508.81649717135457</v>
      </c>
      <c r="H207" s="5">
        <v>8.9759276860000003</v>
      </c>
      <c r="I207">
        <f>表格1[[#This Row],[length(BM)]]*2</f>
        <v>17.951855372000001</v>
      </c>
    </row>
    <row r="208" spans="1:9" x14ac:dyDescent="0.25">
      <c r="A208">
        <v>207</v>
      </c>
      <c r="B208">
        <v>2.7824091407884438E-3</v>
      </c>
      <c r="C208">
        <v>0.15942030064579951</v>
      </c>
      <c r="D208">
        <v>4.1140601263097327</v>
      </c>
      <c r="E208">
        <v>16.925490722891649</v>
      </c>
      <c r="F208">
        <f>2.464/(2*SIN(表格1[[#This Row],[theta_rad]]/2))</f>
        <v>885.56379387354457</v>
      </c>
      <c r="G208">
        <f>表格1[[#This Row],[Morie Lattice]]/3^0.5</f>
        <v>511.28049477747726</v>
      </c>
      <c r="H208" s="5">
        <v>9.0193945909999993</v>
      </c>
      <c r="I208">
        <f>表格1[[#This Row],[length(BM)]]*2</f>
        <v>18.038789181999999</v>
      </c>
    </row>
    <row r="209" spans="1:9" x14ac:dyDescent="0.25">
      <c r="A209">
        <v>208</v>
      </c>
      <c r="B209">
        <v>2.7690642698934911E-3</v>
      </c>
      <c r="C209">
        <v>0.1586556958653717</v>
      </c>
      <c r="D209">
        <v>4.1338868838544229</v>
      </c>
      <c r="E209">
        <v>17.08902076850363</v>
      </c>
      <c r="F209">
        <f>2.464/(2*SIN(表格1[[#This Row],[theta_rad]]/2))</f>
        <v>889.83156296111872</v>
      </c>
      <c r="G209">
        <f>表格1[[#This Row],[Morie Lattice]]/3^0.5</f>
        <v>513.74449240902732</v>
      </c>
      <c r="H209" s="5">
        <v>9.0628614970000001</v>
      </c>
      <c r="I209">
        <f>表格1[[#This Row],[length(BM)]]*2</f>
        <v>18.125722994</v>
      </c>
    </row>
    <row r="210" spans="1:9" x14ac:dyDescent="0.25">
      <c r="A210">
        <v>209</v>
      </c>
      <c r="B210">
        <v>2.755846796113715E-3</v>
      </c>
      <c r="C210">
        <v>0.15789839040196571</v>
      </c>
      <c r="D210">
        <v>4.1537136415475224</v>
      </c>
      <c r="E210">
        <v>17.253337015977969</v>
      </c>
      <c r="F210">
        <f>2.464/(2*SIN(表格1[[#This Row],[theta_rad]]/2))</f>
        <v>894.09933208063842</v>
      </c>
      <c r="G210">
        <f>表格1[[#This Row],[Morie Lattice]]/3^0.5</f>
        <v>516.20849005902119</v>
      </c>
      <c r="H210" s="5">
        <v>9.1063284039999992</v>
      </c>
      <c r="I210">
        <f>表格1[[#This Row],[length(BM)]]*2</f>
        <v>18.212656807999998</v>
      </c>
    </row>
    <row r="211" spans="1:9" x14ac:dyDescent="0.25">
      <c r="A211">
        <v>210</v>
      </c>
      <c r="B211">
        <v>2.742754903812475E-3</v>
      </c>
      <c r="C211">
        <v>0.15714828022726479</v>
      </c>
      <c r="D211">
        <v>4.1735403993941276</v>
      </c>
      <c r="E211">
        <v>17.418439465374899</v>
      </c>
      <c r="F211">
        <f>2.464/(2*SIN(表格1[[#This Row],[theta_rad]]/2))</f>
        <v>898.3671012332012</v>
      </c>
      <c r="G211">
        <f>表格1[[#This Row],[Morie Lattice]]/3^0.5</f>
        <v>518.67248772809251</v>
      </c>
      <c r="H211" s="5">
        <v>9.14979531</v>
      </c>
      <c r="I211">
        <f>表格1[[#This Row],[length(BM)]]*2</f>
        <v>18.29959062</v>
      </c>
    </row>
    <row r="212" spans="1:9" x14ac:dyDescent="0.25">
      <c r="A212">
        <v>211</v>
      </c>
      <c r="B212">
        <v>2.729786811651278E-3</v>
      </c>
      <c r="C212">
        <v>0.15640526327809159</v>
      </c>
      <c r="D212">
        <v>4.1933671574610356</v>
      </c>
      <c r="E212">
        <v>17.58432811727285</v>
      </c>
      <c r="F212">
        <f>2.464/(2*SIN(表格1[[#This Row],[theta_rad]]/2))</f>
        <v>902.63487043318412</v>
      </c>
      <c r="G212">
        <f>表格1[[#This Row],[Morie Lattice]]/3^0.5</f>
        <v>521.13648542454189</v>
      </c>
      <c r="H212" s="5">
        <v>9.1932622169999991</v>
      </c>
      <c r="I212">
        <f>表格1[[#This Row],[length(BM)]]*2</f>
        <v>18.386524433999998</v>
      </c>
    </row>
    <row r="213" spans="1:9" x14ac:dyDescent="0.25">
      <c r="A213">
        <v>212</v>
      </c>
      <c r="B213">
        <v>2.7169407719454248E-3</v>
      </c>
      <c r="C213">
        <v>0.15566923941948879</v>
      </c>
      <c r="D213">
        <v>4.2131939156259373</v>
      </c>
      <c r="E213">
        <v>17.751002970667422</v>
      </c>
      <c r="F213">
        <f>2.464/(2*SIN(表格1[[#This Row],[theta_rad]]/2))</f>
        <v>906.90263965426107</v>
      </c>
      <c r="G213">
        <f>表格1[[#This Row],[Morie Lattice]]/3^0.5</f>
        <v>523.60048313316986</v>
      </c>
      <c r="H213" s="5">
        <v>9.236729124</v>
      </c>
      <c r="I213">
        <f>表格1[[#This Row],[length(BM)]]*2</f>
        <v>18.473458248</v>
      </c>
    </row>
    <row r="214" spans="1:9" x14ac:dyDescent="0.25">
      <c r="A214">
        <v>213</v>
      </c>
      <c r="B214">
        <v>2.7042150695558418E-3</v>
      </c>
      <c r="C214">
        <v>0.1549401103812261</v>
      </c>
      <c r="D214">
        <v>4.2330206740739094</v>
      </c>
      <c r="E214">
        <v>17.91846402713713</v>
      </c>
      <c r="F214">
        <f>2.464/(2*SIN(表格1[[#This Row],[theta_rad]]/2))</f>
        <v>911.1704089362695</v>
      </c>
      <c r="G214">
        <f>表格1[[#This Row],[Morie Lattice]]/3^0.5</f>
        <v>526.06448087697663</v>
      </c>
      <c r="H214" s="5">
        <v>9.2801960309999991</v>
      </c>
      <c r="I214">
        <f>表格1[[#This Row],[length(BM)]]*2</f>
        <v>18.560392061999998</v>
      </c>
    </row>
    <row r="215" spans="1:9" x14ac:dyDescent="0.25">
      <c r="A215">
        <v>214</v>
      </c>
      <c r="B215">
        <v>2.691608021581944E-3</v>
      </c>
      <c r="C215">
        <v>0.15421777974020279</v>
      </c>
      <c r="D215">
        <v>4.2528474325912597</v>
      </c>
      <c r="E215">
        <v>18.086711284898069</v>
      </c>
      <c r="F215">
        <f>2.464/(2*SIN(表格1[[#This Row],[theta_rad]]/2))</f>
        <v>915.43817823321206</v>
      </c>
      <c r="G215">
        <f>表格1[[#This Row],[Morie Lattice]]/3^0.5</f>
        <v>528.52847862940564</v>
      </c>
      <c r="H215" s="5">
        <v>9.323662938</v>
      </c>
      <c r="I215">
        <f>表格1[[#This Row],[length(BM)]]*2</f>
        <v>18.647325876</v>
      </c>
    </row>
    <row r="216" spans="1:9" x14ac:dyDescent="0.25">
      <c r="A216">
        <v>215</v>
      </c>
      <c r="B216">
        <v>2.6791179761015281E-3</v>
      </c>
      <c r="C216">
        <v>0.1535021528482485</v>
      </c>
      <c r="D216">
        <v>4.272674191372885</v>
      </c>
      <c r="E216">
        <v>18.255744745623939</v>
      </c>
      <c r="F216">
        <f>2.464/(2*SIN(表格1[[#This Row],[theta_rad]]/2))</f>
        <v>919.7059475870401</v>
      </c>
      <c r="G216">
        <f>表格1[[#This Row],[Morie Lattice]]/3^0.5</f>
        <v>530.99247641467753</v>
      </c>
      <c r="H216" s="5">
        <v>9.3671298459999992</v>
      </c>
      <c r="I216">
        <f>表格1[[#This Row],[length(BM)]]*2</f>
        <v>18.734259691999998</v>
      </c>
    </row>
    <row r="217" spans="1:9" x14ac:dyDescent="0.25">
      <c r="A217">
        <v>216</v>
      </c>
      <c r="B217">
        <v>2.666743311926084E-3</v>
      </c>
      <c r="C217">
        <v>0.1527931368181038</v>
      </c>
      <c r="D217">
        <v>4.2925009502741016</v>
      </c>
      <c r="E217">
        <v>18.425564408104069</v>
      </c>
      <c r="F217">
        <f>2.464/(2*SIN(表格1[[#This Row],[theta_rad]]/2))</f>
        <v>923.97371696661071</v>
      </c>
      <c r="G217">
        <f>表格1[[#This Row],[Morie Lattice]]/3^0.5</f>
        <v>533.45647421481181</v>
      </c>
      <c r="H217" s="5">
        <v>9.4105967540000002</v>
      </c>
      <c r="I217">
        <f>表格1[[#This Row],[length(BM)]]*2</f>
        <v>18.821193508</v>
      </c>
    </row>
    <row r="218" spans="1:9" x14ac:dyDescent="0.25">
      <c r="A218">
        <v>217</v>
      </c>
      <c r="B218">
        <v>2.654482437607734E-3</v>
      </c>
      <c r="C218">
        <v>0.1520906404665221</v>
      </c>
      <c r="D218">
        <v>4.31232770926822</v>
      </c>
      <c r="E218">
        <v>18.596170272122489</v>
      </c>
      <c r="F218">
        <f>2.464/(2*SIN(表格1[[#This Row],[theta_rad]]/2))</f>
        <v>928.24148636617917</v>
      </c>
      <c r="G218">
        <f>表格1[[#This Row],[Morie Lattice]]/3^0.5</f>
        <v>535.92047202649189</v>
      </c>
      <c r="H218" s="5">
        <v>9.4540636619999994</v>
      </c>
      <c r="I218">
        <f>表格1[[#This Row],[length(BM)]]*2</f>
        <v>18.908127323999999</v>
      </c>
    </row>
    <row r="219" spans="1:9" x14ac:dyDescent="0.25">
      <c r="A219">
        <v>218</v>
      </c>
      <c r="B219">
        <v>2.642333790725023E-3</v>
      </c>
      <c r="C219">
        <v>0.1513945742733479</v>
      </c>
      <c r="D219">
        <v>4.332154468504493</v>
      </c>
      <c r="E219">
        <v>18.767562338983449</v>
      </c>
      <c r="F219">
        <f>2.464/(2*SIN(表格1[[#This Row],[theta_rad]]/2))</f>
        <v>932.50925581787146</v>
      </c>
      <c r="G219">
        <f>表格1[[#This Row],[Morie Lattice]]/3^0.5</f>
        <v>538.38446986826568</v>
      </c>
      <c r="H219" s="5">
        <v>9.4975305710000004</v>
      </c>
      <c r="I219">
        <f>表格1[[#This Row],[length(BM)]]*2</f>
        <v>18.995061142000001</v>
      </c>
    </row>
    <row r="220" spans="1:9" x14ac:dyDescent="0.25">
      <c r="A220">
        <v>219</v>
      </c>
      <c r="B220">
        <v>2.630295837458007E-3</v>
      </c>
      <c r="C220">
        <v>0.15070485035717221</v>
      </c>
      <c r="D220">
        <v>4.3519812279211854</v>
      </c>
      <c r="E220">
        <v>18.93974060817839</v>
      </c>
      <c r="F220">
        <f>2.464/(2*SIN(表格1[[#This Row],[theta_rad]]/2))</f>
        <v>936.7770253084002</v>
      </c>
      <c r="G220">
        <f>表格1[[#This Row],[Morie Lattice]]/3^0.5</f>
        <v>540.8484677324617</v>
      </c>
      <c r="H220" s="5">
        <v>9.5409974789999996</v>
      </c>
      <c r="I220">
        <f>表格1[[#This Row],[length(BM)]]*2</f>
        <v>19.081994957999999</v>
      </c>
    </row>
    <row r="221" spans="1:9" x14ac:dyDescent="0.25">
      <c r="A221">
        <v>220</v>
      </c>
      <c r="B221">
        <v>2.6183670718271219E-3</v>
      </c>
      <c r="C221">
        <v>0.15002138243172181</v>
      </c>
      <c r="D221">
        <v>4.3718079874286921</v>
      </c>
      <c r="E221">
        <v>19.112705078945311</v>
      </c>
      <c r="F221">
        <f>2.464/(2*SIN(表格1[[#This Row],[theta_rad]]/2))</f>
        <v>941.04479481847659</v>
      </c>
      <c r="G221">
        <f>表格1[[#This Row],[Morie Lattice]]/3^0.5</f>
        <v>543.31246560794364</v>
      </c>
      <c r="H221" s="5">
        <v>9.5844643880000007</v>
      </c>
      <c r="I221">
        <f>表格1[[#This Row],[length(BM)]]*2</f>
        <v>19.168928776000001</v>
      </c>
    </row>
    <row r="222" spans="1:9" x14ac:dyDescent="0.25">
      <c r="A222">
        <v>221</v>
      </c>
      <c r="B222">
        <v>2.6065460149268371E-3</v>
      </c>
      <c r="C222">
        <v>0.14934408576195149</v>
      </c>
      <c r="D222">
        <v>4.3916347471412438</v>
      </c>
      <c r="E222">
        <v>19.286455752298341</v>
      </c>
      <c r="F222">
        <f>2.464/(2*SIN(表格1[[#This Row],[theta_rad]]/2))</f>
        <v>945.31256437268962</v>
      </c>
      <c r="G222">
        <f>表格1[[#This Row],[Morie Lattice]]/3^0.5</f>
        <v>545.7764635089078</v>
      </c>
      <c r="H222" s="5">
        <v>9.6279312969999999</v>
      </c>
      <c r="I222">
        <f>表格1[[#This Row],[length(BM)]]*2</f>
        <v>19.255862594</v>
      </c>
    </row>
    <row r="223" spans="1:9" x14ac:dyDescent="0.25">
      <c r="A223">
        <v>222</v>
      </c>
      <c r="B223">
        <v>2.5948312145830511E-3</v>
      </c>
      <c r="C223">
        <v>0.1486728771444141</v>
      </c>
      <c r="D223">
        <v>4.4114615069296699</v>
      </c>
      <c r="E223">
        <v>19.460992627122199</v>
      </c>
      <c r="F223">
        <f>2.464/(2*SIN(表格1[[#This Row],[theta_rad]]/2))</f>
        <v>949.58033394323468</v>
      </c>
      <c r="G223">
        <f>表格1[[#This Row],[Morie Lattice]]/3^0.5</f>
        <v>548.24046141930125</v>
      </c>
      <c r="H223" s="5">
        <v>9.6713982069999993</v>
      </c>
      <c r="I223">
        <f>表格1[[#This Row],[length(BM)]]*2</f>
        <v>19.342796413999999</v>
      </c>
    </row>
    <row r="224" spans="1:9" x14ac:dyDescent="0.25">
      <c r="A224">
        <v>223</v>
      </c>
      <c r="B224">
        <v>2.583221244460259E-3</v>
      </c>
      <c r="C224">
        <v>0.14800767485610511</v>
      </c>
      <c r="D224">
        <v>4.431288266921606</v>
      </c>
      <c r="E224">
        <v>19.636315704557092</v>
      </c>
      <c r="F224">
        <f>2.464/(2*SIN(表格1[[#This Row],[theta_rad]]/2))</f>
        <v>953.84810355758589</v>
      </c>
      <c r="G224">
        <f>表格1[[#This Row],[Morie Lattice]]/3^0.5</f>
        <v>550.70445935498628</v>
      </c>
      <c r="H224" s="5">
        <v>9.7148651160000004</v>
      </c>
      <c r="I224">
        <f>表格1[[#This Row],[length(BM)]]*2</f>
        <v>19.429730232000001</v>
      </c>
    </row>
    <row r="225" spans="1:9" x14ac:dyDescent="0.25">
      <c r="A225">
        <v>224</v>
      </c>
      <c r="B225">
        <v>2.571714703724525E-3</v>
      </c>
      <c r="C225">
        <v>0.1473483986351522</v>
      </c>
      <c r="D225">
        <v>4.4511150270945974</v>
      </c>
      <c r="E225">
        <v>19.812424984427341</v>
      </c>
      <c r="F225">
        <f>2.464/(2*SIN(表格1[[#This Row],[theta_rad]]/2))</f>
        <v>958.11587321091008</v>
      </c>
      <c r="G225">
        <f>表格1[[#This Row],[Morie Lattice]]/3^0.5</f>
        <v>553.16845731317233</v>
      </c>
      <c r="H225" s="5">
        <v>9.7583320259999997</v>
      </c>
      <c r="I225">
        <f>表格1[[#This Row],[length(BM)]]*2</f>
        <v>19.516664051999999</v>
      </c>
    </row>
    <row r="226" spans="1:9" x14ac:dyDescent="0.25">
      <c r="A226">
        <v>225</v>
      </c>
      <c r="B226">
        <v>2.5603102164135911E-3</v>
      </c>
      <c r="C226">
        <v>0.1466949696447252</v>
      </c>
      <c r="D226">
        <v>4.4709417873852493</v>
      </c>
      <c r="E226">
        <v>19.98932046618761</v>
      </c>
      <c r="F226">
        <f>2.464/(2*SIN(表格1[[#This Row],[theta_rad]]/2))</f>
        <v>962.38364288956075</v>
      </c>
      <c r="G226">
        <f>表格1[[#This Row],[Morie Lattice]]/3^0.5</f>
        <v>555.63245528598065</v>
      </c>
      <c r="H226" s="5">
        <v>9.8017989360000009</v>
      </c>
      <c r="I226">
        <f>表格1[[#This Row],[length(BM)]]*2</f>
        <v>19.603597872000002</v>
      </c>
    </row>
    <row r="227" spans="1:9" x14ac:dyDescent="0.25">
      <c r="A227">
        <v>226</v>
      </c>
      <c r="B227">
        <v>2.5490064308107021E-3</v>
      </c>
      <c r="C227">
        <v>0.14604731043715891</v>
      </c>
      <c r="D227">
        <v>4.4907685478242101</v>
      </c>
      <c r="E227">
        <v>20.167002150127161</v>
      </c>
      <c r="F227">
        <f>2.464/(2*SIN(表格1[[#This Row],[theta_rad]]/2))</f>
        <v>966.65141260013559</v>
      </c>
      <c r="G227">
        <f>表格1[[#This Row],[Morie Lattice]]/3^0.5</f>
        <v>558.09645327722035</v>
      </c>
      <c r="H227" s="5">
        <v>9.8452658460000002</v>
      </c>
      <c r="I227">
        <f>表格1[[#This Row],[length(BM)]]*2</f>
        <v>19.690531692</v>
      </c>
    </row>
    <row r="228" spans="1:9" x14ac:dyDescent="0.25">
      <c r="A228">
        <v>227</v>
      </c>
      <c r="B228">
        <v>2.53780201899825E-3</v>
      </c>
      <c r="C228">
        <v>0.14540534492837889</v>
      </c>
      <c r="D228">
        <v>4.5105953083845156</v>
      </c>
      <c r="E228">
        <v>20.345470036020409</v>
      </c>
      <c r="F228">
        <f>2.464/(2*SIN(表格1[[#This Row],[theta_rad]]/2))</f>
        <v>970.91918233683009</v>
      </c>
      <c r="G228">
        <f>表格1[[#This Row],[Morie Lattice]]/3^0.5</f>
        <v>560.56045128354026</v>
      </c>
      <c r="H228" s="5">
        <v>9.8887327569999997</v>
      </c>
      <c r="I228">
        <f>表格1[[#This Row],[length(BM)]]*2</f>
        <v>19.777465513999999</v>
      </c>
    </row>
    <row r="229" spans="1:9" x14ac:dyDescent="0.25">
      <c r="A229">
        <v>228</v>
      </c>
      <c r="B229">
        <v>2.5266956762901669E-3</v>
      </c>
      <c r="C229">
        <v>0.14476899836537979</v>
      </c>
      <c r="D229">
        <v>4.5304220690642856</v>
      </c>
      <c r="E229">
        <v>20.524724123864718</v>
      </c>
      <c r="F229">
        <f>2.464/(2*SIN(表格1[[#This Row],[theta_rad]]/2))</f>
        <v>975.18695209923987</v>
      </c>
      <c r="G229">
        <f>表格1[[#This Row],[Morie Lattice]]/3^0.5</f>
        <v>563.02444930470688</v>
      </c>
      <c r="H229" s="5">
        <v>9.9321996670000008</v>
      </c>
      <c r="I229">
        <f>表格1[[#This Row],[length(BM)]]*2</f>
        <v>19.864399334000002</v>
      </c>
    </row>
    <row r="230" spans="1:9" x14ac:dyDescent="0.25">
      <c r="A230">
        <v>229</v>
      </c>
      <c r="B230">
        <v>2.5156861207166958E-3</v>
      </c>
      <c r="C230">
        <v>0.14413819729670521</v>
      </c>
      <c r="D230">
        <v>4.5502488299037447</v>
      </c>
      <c r="E230">
        <v>20.704764414040401</v>
      </c>
      <c r="F230">
        <f>2.464/(2*SIN(表格1[[#This Row],[theta_rad]]/2))</f>
        <v>979.4547218960231</v>
      </c>
      <c r="G230">
        <f>表格1[[#This Row],[Morie Lattice]]/3^0.5</f>
        <v>565.48844734571901</v>
      </c>
      <c r="H230" s="5">
        <v>9.9756665780000002</v>
      </c>
      <c r="I230">
        <f>表格1[[#This Row],[length(BM)]]*2</f>
        <v>19.951333156</v>
      </c>
    </row>
    <row r="231" spans="1:9" x14ac:dyDescent="0.25">
      <c r="A231">
        <v>230</v>
      </c>
      <c r="B231">
        <v>2.504772092564013E-3</v>
      </c>
      <c r="C231">
        <v>0.14351286954606951</v>
      </c>
      <c r="D231">
        <v>4.5700755909270496</v>
      </c>
      <c r="E231">
        <v>20.885590906787218</v>
      </c>
      <c r="F231">
        <f>2.464/(2*SIN(表格1[[#This Row],[theta_rad]]/2))</f>
        <v>983.72249173237924</v>
      </c>
      <c r="G231">
        <f>表格1[[#This Row],[Morie Lattice]]/3^0.5</f>
        <v>567.95244540957856</v>
      </c>
      <c r="H231" s="5">
        <v>10.01913349</v>
      </c>
      <c r="I231">
        <f>表格1[[#This Row],[length(BM)]]*2</f>
        <v>20.03826698</v>
      </c>
    </row>
    <row r="232" spans="1:9" x14ac:dyDescent="0.25">
      <c r="A232">
        <v>231</v>
      </c>
      <c r="B232">
        <v>2.493952353971202E-3</v>
      </c>
      <c r="C232">
        <v>0.14289294418926671</v>
      </c>
      <c r="D232">
        <v>4.5899023519989823</v>
      </c>
      <c r="E232">
        <v>21.06720360088579</v>
      </c>
      <c r="F232">
        <f>2.464/(2*SIN(表格1[[#This Row],[theta_rad]]/2))</f>
        <v>987.99026157920377</v>
      </c>
      <c r="G232">
        <f>表格1[[#This Row],[Morie Lattice]]/3^0.5</f>
        <v>570.41644347948215</v>
      </c>
      <c r="H232" s="5">
        <v>10.062600399999999</v>
      </c>
      <c r="I232">
        <f>表格1[[#This Row],[length(BM)]]*2</f>
        <v>20.125200799999998</v>
      </c>
    </row>
    <row r="233" spans="1:9" x14ac:dyDescent="0.25">
      <c r="A233">
        <v>232</v>
      </c>
      <c r="B233">
        <v>2.4832256881847049E-3</v>
      </c>
      <c r="C233">
        <v>0.14227835151145299</v>
      </c>
      <c r="D233">
        <v>4.6097291133331257</v>
      </c>
      <c r="E233">
        <v>21.24960249831101</v>
      </c>
      <c r="F233">
        <f>2.464/(2*SIN(表格1[[#This Row],[theta_rad]]/2))</f>
        <v>992.25803148246916</v>
      </c>
      <c r="G233">
        <f>表格1[[#This Row],[Morie Lattice]]/3^0.5</f>
        <v>572.88044158197181</v>
      </c>
      <c r="H233" s="5">
        <v>10.10606731</v>
      </c>
      <c r="I233">
        <f>表格1[[#This Row],[length(BM)]]*2</f>
        <v>20.21213462</v>
      </c>
    </row>
    <row r="234" spans="1:9" x14ac:dyDescent="0.25">
      <c r="A234">
        <v>233</v>
      </c>
      <c r="B234">
        <v>2.4725908995382549E-3</v>
      </c>
      <c r="C234">
        <v>0.14166902300599779</v>
      </c>
      <c r="D234">
        <v>4.6295558746906966</v>
      </c>
      <c r="E234">
        <v>21.432787596883141</v>
      </c>
      <c r="F234">
        <f>2.464/(2*SIN(表格1[[#This Row],[theta_rad]]/2))</f>
        <v>996.52580139077759</v>
      </c>
      <c r="G234">
        <f>表格1[[#This Row],[Morie Lattice]]/3^0.5</f>
        <v>575.34443968737298</v>
      </c>
      <c r="H234" s="5">
        <v>10.14953422</v>
      </c>
      <c r="I234">
        <f>表格1[[#This Row],[length(BM)]]*2</f>
        <v>20.299068439999999</v>
      </c>
    </row>
    <row r="235" spans="1:9" x14ac:dyDescent="0.25">
      <c r="A235">
        <v>234</v>
      </c>
      <c r="B235">
        <v>2.462046812557646E-3</v>
      </c>
      <c r="C235">
        <v>0.14106489132319</v>
      </c>
      <c r="D235">
        <v>4.6493826362122972</v>
      </c>
      <c r="E235">
        <v>21.616758897912408</v>
      </c>
      <c r="F235">
        <f>2.464/(2*SIN(表格1[[#This Row],[theta_rad]]/2))</f>
        <v>1000.7935713343933</v>
      </c>
      <c r="G235">
        <f>表格1[[#This Row],[Morie Lattice]]/3^0.5</f>
        <v>577.80843781315889</v>
      </c>
      <c r="H235" s="5">
        <v>10.19300114</v>
      </c>
      <c r="I235">
        <f>表格1[[#This Row],[length(BM)]]*2</f>
        <v>20.38600228</v>
      </c>
    </row>
    <row r="236" spans="1:9" x14ac:dyDescent="0.25">
      <c r="A236">
        <v>235</v>
      </c>
      <c r="B236">
        <v>2.451592271840147E-3</v>
      </c>
      <c r="C236">
        <v>0.1404658902633297</v>
      </c>
      <c r="D236">
        <v>4.6692093978392437</v>
      </c>
      <c r="E236">
        <v>21.801516400870309</v>
      </c>
      <c r="F236">
        <f>2.464/(2*SIN(表格1[[#This Row],[theta_rad]]/2))</f>
        <v>1005.061341300686</v>
      </c>
      <c r="G236">
        <f>表格1[[#This Row],[Morie Lattice]]/3^0.5</f>
        <v>580.27243595203743</v>
      </c>
      <c r="H236" s="5">
        <v>10.236468049999999</v>
      </c>
      <c r="I236">
        <f>表格1[[#This Row],[length(BM)]]*2</f>
        <v>20.472936099999998</v>
      </c>
    </row>
    <row r="237" spans="1:9" x14ac:dyDescent="0.25">
      <c r="A237">
        <v>236</v>
      </c>
      <c r="B237">
        <v>2.4412261414592622E-3</v>
      </c>
      <c r="C237">
        <v>0.1398719547426226</v>
      </c>
      <c r="D237">
        <v>4.6890361596375563</v>
      </c>
      <c r="E237">
        <v>21.987060106388519</v>
      </c>
      <c r="F237">
        <f>2.464/(2*SIN(表格1[[#This Row],[theta_rad]]/2))</f>
        <v>1009.329111303865</v>
      </c>
      <c r="G237">
        <f>表格1[[#This Row],[Morie Lattice]]/3^0.5</f>
        <v>582.73643411221224</v>
      </c>
      <c r="H237" s="5">
        <v>10.27993496</v>
      </c>
      <c r="I237">
        <f>表格1[[#This Row],[length(BM)]]*2</f>
        <v>20.559869920000001</v>
      </c>
    </row>
    <row r="238" spans="1:9" x14ac:dyDescent="0.25">
      <c r="A238">
        <v>237</v>
      </c>
      <c r="B238">
        <v>2.4309473047032411E-3</v>
      </c>
      <c r="C238">
        <v>0.13928302077819871</v>
      </c>
      <c r="D238">
        <v>4.7088629215128721</v>
      </c>
      <c r="E238">
        <v>22.173390013598741</v>
      </c>
      <c r="F238">
        <f>2.464/(2*SIN(表格1[[#This Row],[theta_rad]]/2))</f>
        <v>1013.5968813236195</v>
      </c>
      <c r="G238">
        <f>表格1[[#This Row],[Morie Lattice]]/3^0.5</f>
        <v>585.20043228195698</v>
      </c>
      <c r="H238" s="5">
        <v>10.32340187</v>
      </c>
      <c r="I238">
        <f>表格1[[#This Row],[length(BM)]]*2</f>
        <v>20.646803739999999</v>
      </c>
    </row>
    <row r="239" spans="1:9" x14ac:dyDescent="0.25">
      <c r="A239">
        <v>238</v>
      </c>
      <c r="B239">
        <v>2.4207546635159221E-3</v>
      </c>
      <c r="C239">
        <v>0.13869902545607399</v>
      </c>
      <c r="D239">
        <v>4.7286896835124397</v>
      </c>
      <c r="E239">
        <v>22.360506122956981</v>
      </c>
      <c r="F239">
        <f>2.464/(2*SIN(表格1[[#This Row],[theta_rad]]/2))</f>
        <v>1017.8646513701195</v>
      </c>
      <c r="G239">
        <f>表格1[[#This Row],[Morie Lattice]]/3^0.5</f>
        <v>587.66443046714312</v>
      </c>
      <c r="H239" s="5">
        <v>10.366868780000001</v>
      </c>
      <c r="I239">
        <f>表格1[[#This Row],[length(BM)]]*2</f>
        <v>20.733737560000002</v>
      </c>
    </row>
    <row r="240" spans="1:9" x14ac:dyDescent="0.25">
      <c r="A240">
        <v>239</v>
      </c>
      <c r="B240">
        <v>2.410647138184297E-3</v>
      </c>
      <c r="C240">
        <v>0.13811990691325041</v>
      </c>
      <c r="D240">
        <v>4.7485164456763727</v>
      </c>
      <c r="E240">
        <v>22.54840843485897</v>
      </c>
      <c r="F240">
        <f>2.464/(2*SIN(表格1[[#This Row],[theta_rad]]/2))</f>
        <v>1022.1324214519999</v>
      </c>
      <c r="G240">
        <f>表格1[[#This Row],[Morie Lattice]]/3^0.5</f>
        <v>590.12842867275617</v>
      </c>
      <c r="H240" s="5">
        <v>10.410335699999999</v>
      </c>
      <c r="I240">
        <f>表格1[[#This Row],[length(BM)]]*2</f>
        <v>20.820671399999998</v>
      </c>
    </row>
    <row r="241" spans="1:9" x14ac:dyDescent="0.25">
      <c r="A241">
        <v>240</v>
      </c>
      <c r="B241">
        <v>2.4006236670032748E-3</v>
      </c>
      <c r="C241">
        <v>0.13754560431850679</v>
      </c>
      <c r="D241">
        <v>4.7683432079458834</v>
      </c>
      <c r="E241">
        <v>22.737096948763629</v>
      </c>
      <c r="F241">
        <f>2.464/(2*SIN(表格1[[#This Row],[theta_rad]]/2))</f>
        <v>1026.4001915566057</v>
      </c>
      <c r="G241">
        <f>表格1[[#This Row],[Morie Lattice]]/3^0.5</f>
        <v>592.59242689148982</v>
      </c>
      <c r="H241" s="5">
        <v>10.45380261</v>
      </c>
      <c r="I241">
        <f>表格1[[#This Row],[length(BM)]]*2</f>
        <v>20.907605220000001</v>
      </c>
    </row>
    <row r="242" spans="1:9" x14ac:dyDescent="0.25">
      <c r="A242">
        <v>241</v>
      </c>
      <c r="B242">
        <v>2.390683205824605E-3</v>
      </c>
      <c r="C242">
        <v>0.13697605784655539</v>
      </c>
      <c r="D242">
        <v>4.7881699703179121</v>
      </c>
      <c r="E242">
        <v>22.92657166465424</v>
      </c>
      <c r="F242">
        <f>2.464/(2*SIN(表格1[[#This Row],[theta_rad]]/2))</f>
        <v>1030.6679616832794</v>
      </c>
      <c r="G242">
        <f>表格1[[#This Row],[Morie Lattice]]/3^0.5</f>
        <v>595.05642512296424</v>
      </c>
      <c r="H242" s="5">
        <v>10.49726952</v>
      </c>
      <c r="I242">
        <f>表格1[[#This Row],[length(BM)]]*2</f>
        <v>20.994539039999999</v>
      </c>
    </row>
    <row r="243" spans="1:9" x14ac:dyDescent="0.25">
      <c r="A243">
        <v>242</v>
      </c>
      <c r="B243">
        <v>2.3808247277203008E-3</v>
      </c>
      <c r="C243">
        <v>0.13641120865875661</v>
      </c>
      <c r="D243">
        <v>4.8079967327949804</v>
      </c>
      <c r="E243">
        <v>23.116832582567209</v>
      </c>
      <c r="F243">
        <f>2.464/(2*SIN(表格1[[#This Row],[theta_rad]]/2))</f>
        <v>1034.9357318325629</v>
      </c>
      <c r="G243">
        <f>表格1[[#This Row],[Morie Lattice]]/3^0.5</f>
        <v>597.52042336749253</v>
      </c>
      <c r="H243" s="5">
        <v>10.54073644</v>
      </c>
      <c r="I243">
        <f>表格1[[#This Row],[length(BM)]]*2</f>
        <v>21.08147288</v>
      </c>
    </row>
    <row r="244" spans="1:9" x14ac:dyDescent="0.25">
      <c r="A244">
        <v>243</v>
      </c>
      <c r="B244">
        <v>2.371047222623992E-3</v>
      </c>
      <c r="C244">
        <v>0.13585099888257041</v>
      </c>
      <c r="D244">
        <v>4.8278234953955756</v>
      </c>
      <c r="E244">
        <v>23.307879702693551</v>
      </c>
      <c r="F244">
        <f>2.464/(2*SIN(表格1[[#This Row],[theta_rad]]/2))</f>
        <v>1039.2035020084359</v>
      </c>
      <c r="G244">
        <f>表格1[[#This Row],[Morie Lattice]]/3^0.5</f>
        <v>599.98442162737229</v>
      </c>
      <c r="H244" s="5">
        <v>10.584203349999999</v>
      </c>
      <c r="I244">
        <f>表格1[[#This Row],[length(BM)]]*2</f>
        <v>21.168406699999998</v>
      </c>
    </row>
    <row r="245" spans="1:9" x14ac:dyDescent="0.25">
      <c r="A245">
        <v>244</v>
      </c>
      <c r="B245">
        <v>2.3613496969970959E-3</v>
      </c>
      <c r="C245">
        <v>0.13529537159242941</v>
      </c>
      <c r="D245">
        <v>4.847650258131921</v>
      </c>
      <c r="E245">
        <v>23.499713025166479</v>
      </c>
      <c r="F245">
        <f>2.464/(2*SIN(表格1[[#This Row],[theta_rad]]/2))</f>
        <v>1043.4712722135296</v>
      </c>
      <c r="G245">
        <f>表格1[[#This Row],[Morie Lattice]]/3^0.5</f>
        <v>602.4484199041226</v>
      </c>
      <c r="H245" s="5">
        <v>10.62767026</v>
      </c>
      <c r="I245">
        <f>表格1[[#This Row],[length(BM)]]*2</f>
        <v>21.255340520000001</v>
      </c>
    </row>
    <row r="246" spans="1:9" x14ac:dyDescent="0.25">
      <c r="A246">
        <v>245</v>
      </c>
      <c r="B246">
        <v>2.351731173521034E-3</v>
      </c>
      <c r="C246">
        <v>0.13474427079210349</v>
      </c>
      <c r="D246">
        <v>4.8674770209501714</v>
      </c>
      <c r="E246">
        <v>23.69233254947796</v>
      </c>
      <c r="F246">
        <f>2.464/(2*SIN(表格1[[#This Row],[theta_rad]]/2))</f>
        <v>1047.7390424362534</v>
      </c>
      <c r="G246">
        <f>表格1[[#This Row],[Morie Lattice]]/3^0.5</f>
        <v>604.91241819105164</v>
      </c>
      <c r="H246" s="5">
        <v>10.671137180000001</v>
      </c>
      <c r="I246">
        <f>表格1[[#This Row],[length(BM)]]*2</f>
        <v>21.342274360000001</v>
      </c>
    </row>
    <row r="247" spans="1:9" x14ac:dyDescent="0.25">
      <c r="A247">
        <v>246</v>
      </c>
      <c r="B247">
        <v>2.3421906906745042E-3</v>
      </c>
      <c r="C247">
        <v>0.1341976413904804</v>
      </c>
      <c r="D247">
        <v>4.8873037839246232</v>
      </c>
      <c r="E247">
        <v>23.885738276363941</v>
      </c>
      <c r="F247">
        <f>2.464/(2*SIN(表格1[[#This Row],[theta_rad]]/2))</f>
        <v>1052.0068126926005</v>
      </c>
      <c r="G247">
        <f>表格1[[#This Row],[Morie Lattice]]/3^0.5</f>
        <v>607.37641649739317</v>
      </c>
      <c r="H247" s="5">
        <v>10.71460409</v>
      </c>
      <c r="I247">
        <f>表格1[[#This Row],[length(BM)]]*2</f>
        <v>21.42920818</v>
      </c>
    </row>
    <row r="248" spans="1:9" x14ac:dyDescent="0.25">
      <c r="A248">
        <v>247</v>
      </c>
      <c r="B248">
        <v>2.3327273025261748E-3</v>
      </c>
      <c r="C248">
        <v>0.13365542918968701</v>
      </c>
      <c r="D248">
        <v>4.9071305470250879</v>
      </c>
      <c r="E248">
        <v>24.079930205546741</v>
      </c>
      <c r="F248">
        <f>2.464/(2*SIN(表格1[[#This Row],[theta_rad]]/2))</f>
        <v>1056.2745829760722</v>
      </c>
      <c r="G248">
        <f>表格1[[#This Row],[Morie Lattice]]/3^0.5</f>
        <v>609.84041481939505</v>
      </c>
      <c r="H248" s="5">
        <v>10.758070999999999</v>
      </c>
      <c r="I248">
        <f>表格1[[#This Row],[length(BM)]]*2</f>
        <v>21.516141999999999</v>
      </c>
    </row>
    <row r="249" spans="1:9" x14ac:dyDescent="0.25">
      <c r="A249">
        <v>248</v>
      </c>
      <c r="B249">
        <v>2.323340078414898E-3</v>
      </c>
      <c r="C249">
        <v>0.13311758086676739</v>
      </c>
      <c r="D249">
        <v>4.9269573101277047</v>
      </c>
      <c r="E249">
        <v>24.274908335820829</v>
      </c>
      <c r="F249">
        <f>2.464/(2*SIN(表格1[[#This Row],[theta_rad]]/2))</f>
        <v>1060.5423532600064</v>
      </c>
      <c r="G249">
        <f>表格1[[#This Row],[Morie Lattice]]/3^0.5</f>
        <v>612.30441314166387</v>
      </c>
      <c r="H249" s="5">
        <v>10.801537919999999</v>
      </c>
      <c r="I249">
        <f>表格1[[#This Row],[length(BM)]]*2</f>
        <v>21.603075839999999</v>
      </c>
    </row>
    <row r="250" spans="1:9" x14ac:dyDescent="0.25">
      <c r="A250">
        <v>249</v>
      </c>
      <c r="B250">
        <v>2.3140281024666728E-3</v>
      </c>
      <c r="C250">
        <v>0.13258404394600681</v>
      </c>
      <c r="D250">
        <v>4.9467840733914752</v>
      </c>
      <c r="E250">
        <v>24.470672668759551</v>
      </c>
      <c r="F250">
        <f>2.464/(2*SIN(表格1[[#This Row],[theta_rad]]/2))</f>
        <v>1064.8101235786303</v>
      </c>
      <c r="G250">
        <f>表格1[[#This Row],[Morie Lattice]]/3^0.5</f>
        <v>614.7684114839609</v>
      </c>
      <c r="H250" s="5">
        <v>10.845004830000001</v>
      </c>
      <c r="I250">
        <f>表格1[[#This Row],[length(BM)]]*2</f>
        <v>21.690009660000001</v>
      </c>
    </row>
    <row r="251" spans="1:9" x14ac:dyDescent="0.25">
      <c r="A251">
        <v>250</v>
      </c>
      <c r="B251">
        <v>2.3047904735222701E-3</v>
      </c>
      <c r="C251">
        <v>0.13205476679478459</v>
      </c>
      <c r="D251">
        <v>4.9666108367839383</v>
      </c>
      <c r="E251">
        <v>24.667223204059649</v>
      </c>
      <c r="F251">
        <f>2.464/(2*SIN(表格1[[#This Row],[theta_rad]]/2))</f>
        <v>1069.0778939249549</v>
      </c>
      <c r="G251">
        <f>表格1[[#This Row],[Morie Lattice]]/3^0.5</f>
        <v>617.23240984225095</v>
      </c>
      <c r="H251" s="5">
        <v>10.888471750000001</v>
      </c>
      <c r="I251">
        <f>表格1[[#This Row],[length(BM)]]*2</f>
        <v>21.776943500000002</v>
      </c>
    </row>
    <row r="252" spans="1:9" x14ac:dyDescent="0.25">
      <c r="A252">
        <v>251</v>
      </c>
      <c r="B252">
        <v>2.295626304713702E-3</v>
      </c>
      <c r="C252">
        <v>0.13152969859930819</v>
      </c>
      <c r="D252">
        <v>4.9864376003617954</v>
      </c>
      <c r="E252">
        <v>24.864559942301891</v>
      </c>
      <c r="F252">
        <f>2.464/(2*SIN(表格1[[#This Row],[theta_rad]]/2))</f>
        <v>1073.3456643111867</v>
      </c>
      <c r="G252">
        <f>表格1[[#This Row],[Morie Lattice]]/3^0.5</f>
        <v>619.69640822358144</v>
      </c>
      <c r="H252" s="5">
        <v>10.93193866</v>
      </c>
      <c r="I252">
        <f>表格1[[#This Row],[length(BM)]]*2</f>
        <v>21.86387732</v>
      </c>
    </row>
    <row r="253" spans="1:9" x14ac:dyDescent="0.25">
      <c r="A253">
        <v>252</v>
      </c>
      <c r="B253">
        <v>2.286534723359815E-3</v>
      </c>
      <c r="C253">
        <v>0.13100878935863061</v>
      </c>
      <c r="D253">
        <v>5.0062643638817077</v>
      </c>
      <c r="E253">
        <v>25.062682881071922</v>
      </c>
      <c r="F253">
        <f>2.464/(2*SIN(表格1[[#This Row],[theta_rad]]/2))</f>
        <v>1077.6134346849456</v>
      </c>
      <c r="G253">
        <f>表格1[[#This Row],[Morie Lattice]]/3^0.5</f>
        <v>622.16040659771056</v>
      </c>
      <c r="H253" s="5">
        <v>10.97540558</v>
      </c>
      <c r="I253">
        <f>表格1[[#This Row],[length(BM)]]*2</f>
        <v>21.950811160000001</v>
      </c>
    </row>
    <row r="254" spans="1:9" x14ac:dyDescent="0.25">
      <c r="A254">
        <v>253</v>
      </c>
      <c r="B254">
        <v>2.2775148703128622E-3</v>
      </c>
      <c r="C254">
        <v>0.130491989847212</v>
      </c>
      <c r="D254">
        <v>5.026091127618816</v>
      </c>
      <c r="E254">
        <v>25.261592023128578</v>
      </c>
      <c r="F254">
        <f>2.464/(2*SIN(表格1[[#This Row],[theta_rad]]/2))</f>
        <v>1081.8812051054563</v>
      </c>
      <c r="G254">
        <f>表格1[[#This Row],[Morie Lattice]]/3^0.5</f>
        <v>624.62440499883189</v>
      </c>
      <c r="H254" s="5">
        <v>11.01887249</v>
      </c>
      <c r="I254">
        <f>表格1[[#This Row],[length(BM)]]*2</f>
        <v>22.037744979999999</v>
      </c>
    </row>
    <row r="255" spans="1:9" x14ac:dyDescent="0.25">
      <c r="A255">
        <v>254</v>
      </c>
      <c r="B255">
        <v>2.268565900111469E-3</v>
      </c>
      <c r="C255">
        <v>0.1299792516236839</v>
      </c>
      <c r="D255">
        <v>5.0459178914454101</v>
      </c>
      <c r="E255">
        <v>25.46128736720889</v>
      </c>
      <c r="F255">
        <f>2.464/(2*SIN(表格1[[#This Row],[theta_rad]]/2))</f>
        <v>1086.1489755452294</v>
      </c>
      <c r="G255">
        <f>表格1[[#This Row],[Morie Lattice]]/3^0.5</f>
        <v>627.08840341107452</v>
      </c>
      <c r="H255" s="5">
        <v>11.06233941</v>
      </c>
      <c r="I255">
        <f>表格1[[#This Row],[length(BM)]]*2</f>
        <v>22.12467882</v>
      </c>
    </row>
    <row r="256" spans="1:9" x14ac:dyDescent="0.25">
      <c r="A256">
        <v>255</v>
      </c>
      <c r="B256">
        <v>2.259686980488838E-3</v>
      </c>
      <c r="C256">
        <v>0.1294705270026712</v>
      </c>
      <c r="D256">
        <v>5.0657446553250116</v>
      </c>
      <c r="E256">
        <v>25.661768912953921</v>
      </c>
      <c r="F256">
        <f>2.464/(2*SIN(表格1[[#This Row],[theta_rad]]/2))</f>
        <v>1090.4167459964124</v>
      </c>
      <c r="G256">
        <f>表格1[[#This Row],[Morie Lattice]]/3^0.5</f>
        <v>629.55240182990451</v>
      </c>
      <c r="H256" s="5">
        <v>11.105806319999999</v>
      </c>
      <c r="I256">
        <f>表格1[[#This Row],[length(BM)]]*2</f>
        <v>22.211612639999998</v>
      </c>
    </row>
    <row r="257" spans="1:9" x14ac:dyDescent="0.25">
      <c r="A257">
        <v>256</v>
      </c>
      <c r="B257">
        <v>2.2508772921064259E-3</v>
      </c>
      <c r="C257">
        <v>0.12896576903953361</v>
      </c>
      <c r="D257">
        <v>5.0855714193347836</v>
      </c>
      <c r="E257">
        <v>25.863036661154801</v>
      </c>
      <c r="F257">
        <f>2.464/(2*SIN(表格1[[#This Row],[theta_rad]]/2))</f>
        <v>1094.6845164756151</v>
      </c>
      <c r="G257">
        <f>表格1[[#This Row],[Morie Lattice]]/3^0.5</f>
        <v>632.01640026491168</v>
      </c>
      <c r="H257" s="5">
        <v>11.149273239999999</v>
      </c>
      <c r="I257">
        <f>表格1[[#This Row],[length(BM)]]*2</f>
        <v>22.298546479999999</v>
      </c>
    </row>
    <row r="258" spans="1:9" x14ac:dyDescent="0.25">
      <c r="A258">
        <v>257</v>
      </c>
      <c r="B258">
        <v>2.2421360284207272E-3</v>
      </c>
      <c r="C258">
        <v>0.128464931522732</v>
      </c>
      <c r="D258">
        <v>5.1053981833995046</v>
      </c>
      <c r="E258">
        <v>26.06509061105897</v>
      </c>
      <c r="F258">
        <f>2.464/(2*SIN(表格1[[#This Row],[theta_rad]]/2))</f>
        <v>1098.9522869666455</v>
      </c>
      <c r="G258">
        <f>表格1[[#This Row],[Morie Lattice]]/3^0.5</f>
        <v>634.48039870674768</v>
      </c>
      <c r="H258" s="5">
        <v>11.192740150000001</v>
      </c>
      <c r="I258">
        <f>表格1[[#This Row],[length(BM)]]*2</f>
        <v>22.385480300000001</v>
      </c>
    </row>
    <row r="259" spans="1:9" x14ac:dyDescent="0.25">
      <c r="A259">
        <v>258</v>
      </c>
      <c r="B259">
        <v>2.2334623952894261E-3</v>
      </c>
      <c r="C259">
        <v>0.12796796895126369</v>
      </c>
      <c r="D259">
        <v>5.1252249476244307</v>
      </c>
      <c r="E259">
        <v>26.267930763751849</v>
      </c>
      <c r="F259">
        <f>2.464/(2*SIN(表格1[[#This Row],[theta_rad]]/2))</f>
        <v>1103.2200574921608</v>
      </c>
      <c r="G259">
        <f>表格1[[#This Row],[Morie Lattice]]/3^0.5</f>
        <v>636.94439716849342</v>
      </c>
      <c r="H259" s="5">
        <v>11.236207070000001</v>
      </c>
      <c r="I259">
        <f>表格1[[#This Row],[length(BM)]]*2</f>
        <v>22.472414140000001</v>
      </c>
    </row>
    <row r="260" spans="1:9" x14ac:dyDescent="0.25">
      <c r="A260">
        <v>259</v>
      </c>
      <c r="B260">
        <v>2.224855610908948E-3</v>
      </c>
      <c r="C260">
        <v>0.1274748365310831</v>
      </c>
      <c r="D260">
        <v>5.1450517118906713</v>
      </c>
      <c r="E260">
        <v>26.471557118029128</v>
      </c>
      <c r="F260">
        <f>2.464/(2*SIN(表格1[[#This Row],[theta_rad]]/2))</f>
        <v>1107.4878280265686</v>
      </c>
      <c r="G260">
        <f>表格1[[#This Row],[Morie Lattice]]/3^0.5</f>
        <v>639.40839563537338</v>
      </c>
      <c r="H260" s="5">
        <v>11.279673989999999</v>
      </c>
      <c r="I260">
        <f>表格1[[#This Row],[length(BM)]]*2</f>
        <v>22.559347979999998</v>
      </c>
    </row>
    <row r="261" spans="1:9" x14ac:dyDescent="0.25">
      <c r="A261">
        <v>260</v>
      </c>
      <c r="B261">
        <v>2.216314905391422E-3</v>
      </c>
      <c r="C261">
        <v>0.1269854901508648</v>
      </c>
      <c r="D261">
        <v>5.1648784762847697</v>
      </c>
      <c r="E261">
        <v>26.67596967478968</v>
      </c>
      <c r="F261">
        <f>2.464/(2*SIN(表格1[[#This Row],[theta_rad]]/2))</f>
        <v>1111.755598588499</v>
      </c>
      <c r="G261">
        <f>表格1[[#This Row],[Morie Lattice]]/3^0.5</f>
        <v>641.87239411814346</v>
      </c>
      <c r="H261" s="5">
        <v>11.3231409</v>
      </c>
      <c r="I261">
        <f>表格1[[#This Row],[length(BM)]]*2</f>
        <v>22.646281800000001</v>
      </c>
    </row>
    <row r="262" spans="1:9" x14ac:dyDescent="0.25">
      <c r="A262">
        <v>261</v>
      </c>
      <c r="B262">
        <v>2.2078395206755821E-3</v>
      </c>
      <c r="C262">
        <v>0.12649988637689749</v>
      </c>
      <c r="D262">
        <v>5.1847052407768999</v>
      </c>
      <c r="E262">
        <v>26.88116843373945</v>
      </c>
      <c r="F262">
        <f>2.464/(2*SIN(表格1[[#This Row],[theta_rad]]/2))</f>
        <v>1116.0233691715305</v>
      </c>
      <c r="G262">
        <f>表格1[[#This Row],[Morie Lattice]]/3^0.5</f>
        <v>644.33639261309622</v>
      </c>
      <c r="H262" s="5">
        <v>11.36660782</v>
      </c>
      <c r="I262">
        <f>表格1[[#This Row],[length(BM)]]*2</f>
        <v>22.733215640000001</v>
      </c>
    </row>
    <row r="263" spans="1:9" x14ac:dyDescent="0.25">
      <c r="A263">
        <v>262</v>
      </c>
      <c r="B263">
        <v>2.199428710276158E-3</v>
      </c>
      <c r="C263">
        <v>0.12601798243872581</v>
      </c>
      <c r="D263">
        <v>5.20453200527857</v>
      </c>
      <c r="E263">
        <v>27.087153393968968</v>
      </c>
      <c r="F263">
        <f>2.464/(2*SIN(表格1[[#This Row],[theta_rad]]/2))</f>
        <v>1120.2911397566154</v>
      </c>
      <c r="G263">
        <f>表格1[[#This Row],[Morie Lattice]]/3^0.5</f>
        <v>646.80039110923462</v>
      </c>
      <c r="H263" s="5">
        <v>11.41007473</v>
      </c>
      <c r="I263">
        <f>表格1[[#This Row],[length(BM)]]*2</f>
        <v>22.82014946</v>
      </c>
    </row>
    <row r="264" spans="1:9" x14ac:dyDescent="0.25">
      <c r="A264">
        <v>263</v>
      </c>
      <c r="B264">
        <v>2.1910817389183281E-3</v>
      </c>
      <c r="C264">
        <v>0.12553973620820549</v>
      </c>
      <c r="D264">
        <v>5.2243587699893652</v>
      </c>
      <c r="E264">
        <v>27.29392455756479</v>
      </c>
      <c r="F264">
        <f>2.464/(2*SIN(表格1[[#This Row],[theta_rad]]/2))</f>
        <v>1124.5589103867158</v>
      </c>
      <c r="G264">
        <f>表格1[[#This Row],[Morie Lattice]]/3^0.5</f>
        <v>649.26438963136263</v>
      </c>
      <c r="H264" s="5">
        <v>11.45354165</v>
      </c>
      <c r="I264">
        <f>表格1[[#This Row],[length(BM)]]*2</f>
        <v>22.9070833</v>
      </c>
    </row>
    <row r="265" spans="1:9" x14ac:dyDescent="0.25">
      <c r="A265">
        <v>264</v>
      </c>
      <c r="B265">
        <v>2.1827978826139652E-3</v>
      </c>
      <c r="C265">
        <v>0.12506510620387271</v>
      </c>
      <c r="D265">
        <v>5.2441855347101427</v>
      </c>
      <c r="E265">
        <v>27.50148192246311</v>
      </c>
      <c r="F265">
        <f>2.464/(2*SIN(表格1[[#This Row],[theta_rad]]/2))</f>
        <v>1128.8266810189641</v>
      </c>
      <c r="G265">
        <f>表格1[[#This Row],[Morie Lattice]]/3^0.5</f>
        <v>651.72838815473074</v>
      </c>
      <c r="H265" s="5">
        <v>11.49700857</v>
      </c>
      <c r="I265">
        <f>表格1[[#This Row],[length(BM)]]*2</f>
        <v>22.99401714</v>
      </c>
    </row>
    <row r="266" spans="1:9" x14ac:dyDescent="0.25">
      <c r="A266">
        <v>265</v>
      </c>
      <c r="B266">
        <v>2.174576428170618E-3</v>
      </c>
      <c r="C266">
        <v>0.1245940515628098</v>
      </c>
      <c r="D266">
        <v>5.2640122995094938</v>
      </c>
      <c r="E266">
        <v>27.709825489387232</v>
      </c>
      <c r="F266">
        <f>2.464/(2*SIN(表格1[[#This Row],[theta_rad]]/2))</f>
        <v>1133.0944516681261</v>
      </c>
      <c r="G266">
        <f>表格1[[#This Row],[Morie Lattice]]/3^0.5</f>
        <v>654.19238668786409</v>
      </c>
      <c r="H266" s="5">
        <v>11.54047548</v>
      </c>
      <c r="I266">
        <f>表格1[[#This Row],[length(BM)]]*2</f>
        <v>23.080950959999999</v>
      </c>
    </row>
    <row r="267" spans="1:9" x14ac:dyDescent="0.25">
      <c r="A267">
        <v>266</v>
      </c>
      <c r="B267">
        <v>2.16641667309206E-3</v>
      </c>
      <c r="C267">
        <v>0.124126532034948</v>
      </c>
      <c r="D267">
        <v>5.2838390644774069</v>
      </c>
      <c r="E267">
        <v>27.91895525929748</v>
      </c>
      <c r="F267">
        <f>2.464/(2*SIN(表格1[[#This Row],[theta_rad]]/2))</f>
        <v>1137.3622223535713</v>
      </c>
      <c r="G267">
        <f>表格1[[#This Row],[Morie Lattice]]/3^0.5</f>
        <v>656.65638524194537</v>
      </c>
      <c r="H267" s="5">
        <v>11.5839424</v>
      </c>
      <c r="I267">
        <f>表格1[[#This Row],[length(BM)]]*2</f>
        <v>23.1678848</v>
      </c>
    </row>
    <row r="268" spans="1:9" x14ac:dyDescent="0.25">
      <c r="A268">
        <v>267</v>
      </c>
      <c r="B268">
        <v>2.1583179254695988E-3</v>
      </c>
      <c r="C268">
        <v>0.12366250797683941</v>
      </c>
      <c r="D268">
        <v>5.3036658295014529</v>
      </c>
      <c r="E268">
        <v>28.128871231021339</v>
      </c>
      <c r="F268">
        <f>2.464/(2*SIN(表格1[[#This Row],[theta_rad]]/2))</f>
        <v>1141.6299930510995</v>
      </c>
      <c r="G268">
        <f>表格1[[#This Row],[Morie Lattice]]/3^0.5</f>
        <v>659.12038380300294</v>
      </c>
      <c r="H268" s="5">
        <v>11.62740932</v>
      </c>
      <c r="I268">
        <f>表格1[[#This Row],[length(BM)]]*2</f>
        <v>23.25481864</v>
      </c>
    </row>
    <row r="269" spans="1:9" x14ac:dyDescent="0.25">
      <c r="A269">
        <v>268</v>
      </c>
      <c r="B269">
        <v>2.150279503657552E-3</v>
      </c>
      <c r="C269">
        <v>0.1232019403330632</v>
      </c>
      <c r="D269">
        <v>5.3234925945782843</v>
      </c>
      <c r="E269">
        <v>28.33957340452983</v>
      </c>
      <c r="F269">
        <f>2.464/(2*SIN(表格1[[#This Row],[theta_rad]]/2))</f>
        <v>1145.8977637599901</v>
      </c>
      <c r="G269">
        <f>表格1[[#This Row],[Morie Lattice]]/3^0.5</f>
        <v>661.58438237062046</v>
      </c>
      <c r="H269" s="5">
        <v>11.670876229999999</v>
      </c>
      <c r="I269">
        <f>表格1[[#This Row],[length(BM)]]*2</f>
        <v>23.341752459999999</v>
      </c>
    </row>
    <row r="270" spans="1:9" x14ac:dyDescent="0.25">
      <c r="A270">
        <v>269</v>
      </c>
      <c r="B270">
        <v>2.142300736090225E-3</v>
      </c>
      <c r="C270">
        <v>0.12274479062573949</v>
      </c>
      <c r="D270">
        <v>5.3433193597972828</v>
      </c>
      <c r="E270">
        <v>28.55106178078444</v>
      </c>
      <c r="F270">
        <f>2.464/(2*SIN(表格1[[#This Row],[theta_rad]]/2))</f>
        <v>1150.165534499482</v>
      </c>
      <c r="G270">
        <f>表格1[[#This Row],[Morie Lattice]]/3^0.5</f>
        <v>664.04838095590571</v>
      </c>
      <c r="H270" s="5">
        <v>11.714343149999999</v>
      </c>
      <c r="I270">
        <f>表格1[[#This Row],[length(BM)]]*2</f>
        <v>23.428686299999999</v>
      </c>
    </row>
    <row r="271" spans="1:9" x14ac:dyDescent="0.25">
      <c r="A271">
        <v>270</v>
      </c>
      <c r="B271">
        <v>2.1343809611923401E-3</v>
      </c>
      <c r="C271">
        <v>0.12229102094939701</v>
      </c>
      <c r="D271">
        <v>5.3631461250991599</v>
      </c>
      <c r="E271">
        <v>28.763336359166129</v>
      </c>
      <c r="F271">
        <f>2.464/(2*SIN(表格1[[#This Row],[theta_rad]]/2))</f>
        <v>1154.4333052568143</v>
      </c>
      <c r="G271">
        <f>表格1[[#This Row],[Morie Lattice]]/3^0.5</f>
        <v>666.51237955149122</v>
      </c>
      <c r="H271" s="5">
        <v>11.75781007</v>
      </c>
      <c r="I271">
        <f>表格1[[#This Row],[length(BM)]]*2</f>
        <v>23.515620139999999</v>
      </c>
    </row>
    <row r="272" spans="1:9" x14ac:dyDescent="0.25">
      <c r="A272">
        <v>271</v>
      </c>
      <c r="B272">
        <v>2.126519527124541E-3</v>
      </c>
      <c r="C272">
        <v>0.1218405939563918</v>
      </c>
      <c r="D272">
        <v>5.3829728904516916</v>
      </c>
      <c r="E272">
        <v>28.976397139337841</v>
      </c>
      <c r="F272">
        <f>2.464/(2*SIN(表格1[[#This Row],[theta_rad]]/2))</f>
        <v>1158.7010760250496</v>
      </c>
      <c r="G272">
        <f>表格1[[#This Row],[Morie Lattice]]/3^0.5</f>
        <v>668.97637815337146</v>
      </c>
      <c r="H272" s="5">
        <v>11.80127699</v>
      </c>
      <c r="I272">
        <f>表格1[[#This Row],[length(BM)]]*2</f>
        <v>23.60255398</v>
      </c>
    </row>
    <row r="273" spans="1:9" x14ac:dyDescent="0.25">
      <c r="A273">
        <v>272</v>
      </c>
      <c r="B273">
        <v>2.1187157916218451E-3</v>
      </c>
      <c r="C273">
        <v>0.1213934728476509</v>
      </c>
      <c r="D273">
        <v>5.4027996558066178</v>
      </c>
      <c r="E273">
        <v>29.190244120784111</v>
      </c>
      <c r="F273">
        <f>2.464/(2*SIN(表格1[[#This Row],[theta_rad]]/2))</f>
        <v>1162.9688467938006</v>
      </c>
      <c r="G273">
        <f>表格1[[#This Row],[Morie Lattice]]/3^0.5</f>
        <v>671.44037675554944</v>
      </c>
      <c r="H273" s="5">
        <v>11.844743899999999</v>
      </c>
      <c r="I273">
        <f>表格1[[#This Row],[length(BM)]]*2</f>
        <v>23.689487799999998</v>
      </c>
    </row>
    <row r="274" spans="1:9" x14ac:dyDescent="0.25">
      <c r="A274">
        <v>273</v>
      </c>
      <c r="B274">
        <v>2.11096912171735E-3</v>
      </c>
      <c r="C274">
        <v>0.1209496213568423</v>
      </c>
      <c r="D274">
        <v>5.4226264213594941</v>
      </c>
      <c r="E274">
        <v>29.404877305626069</v>
      </c>
      <c r="F274">
        <f>2.464/(2*SIN(表格1[[#This Row],[theta_rad]]/2))</f>
        <v>1167.2366176051614</v>
      </c>
      <c r="G274">
        <f>表格1[[#This Row],[Morie Lattice]]/3^0.5</f>
        <v>673.90437538232823</v>
      </c>
      <c r="H274" s="5">
        <v>11.888210819999999</v>
      </c>
      <c r="I274">
        <f>表格1[[#This Row],[length(BM)]]*2</f>
        <v>23.776421639999999</v>
      </c>
    </row>
    <row r="275" spans="1:9" x14ac:dyDescent="0.25">
      <c r="A275">
        <v>274</v>
      </c>
      <c r="B275">
        <v>2.1032788938234988E-3</v>
      </c>
      <c r="C275">
        <v>0.1205090037550309</v>
      </c>
      <c r="D275">
        <v>5.4424531869056221</v>
      </c>
      <c r="E275">
        <v>29.62029669165916</v>
      </c>
      <c r="F275">
        <f>2.464/(2*SIN(表格1[[#This Row],[theta_rad]]/2))</f>
        <v>1171.5043884150691</v>
      </c>
      <c r="G275">
        <f>表格1[[#This Row],[Morie Lattice]]/3^0.5</f>
        <v>676.36837400826812</v>
      </c>
      <c r="H275" s="5">
        <v>11.93167774</v>
      </c>
      <c r="I275">
        <f>表格1[[#This Row],[length(BM)]]*2</f>
        <v>23.863355479999999</v>
      </c>
    </row>
    <row r="276" spans="1:9" x14ac:dyDescent="0.25">
      <c r="A276">
        <v>275</v>
      </c>
      <c r="B276">
        <v>2.09564449327966E-3</v>
      </c>
      <c r="C276">
        <v>0.12007158482475649</v>
      </c>
      <c r="D276">
        <v>5.4622799525682497</v>
      </c>
      <c r="E276">
        <v>29.836502280228999</v>
      </c>
      <c r="F276">
        <f>2.464/(2*SIN(表格1[[#This Row],[theta_rad]]/2))</f>
        <v>1175.7721592500538</v>
      </c>
      <c r="G276">
        <f>表格1[[#This Row],[Morie Lattice]]/3^0.5</f>
        <v>678.83237264868615</v>
      </c>
      <c r="H276" s="5">
        <v>11.97514466</v>
      </c>
      <c r="I276">
        <f>表格1[[#This Row],[length(BM)]]*2</f>
        <v>23.95028932</v>
      </c>
    </row>
    <row r="277" spans="1:9" x14ac:dyDescent="0.25">
      <c r="A277">
        <v>276</v>
      </c>
      <c r="B277">
        <v>2.0880653143627481E-3</v>
      </c>
      <c r="C277">
        <v>0.1196373298606429</v>
      </c>
      <c r="D277">
        <v>5.4821067183528731</v>
      </c>
      <c r="E277">
        <v>30.053494071409709</v>
      </c>
      <c r="F277">
        <f>2.464/(2*SIN(表格1[[#This Row],[theta_rad]]/2))</f>
        <v>1180.0399301112984</v>
      </c>
      <c r="G277">
        <f>表格1[[#This Row],[Morie Lattice]]/3^0.5</f>
        <v>681.29637130426534</v>
      </c>
      <c r="H277" s="5">
        <v>12.018611569999999</v>
      </c>
      <c r="I277">
        <f>表格1[[#This Row],[length(BM)]]*2</f>
        <v>24.037223139999998</v>
      </c>
    </row>
    <row r="278" spans="1:9" x14ac:dyDescent="0.25">
      <c r="A278">
        <v>277</v>
      </c>
      <c r="B278">
        <v>2.0805407600792501E-3</v>
      </c>
      <c r="C278">
        <v>0.1192062046574814</v>
      </c>
      <c r="D278">
        <v>5.5019334842692027</v>
      </c>
      <c r="E278">
        <v>30.271272065322648</v>
      </c>
      <c r="F278">
        <f>2.464/(2*SIN(表格1[[#This Row],[theta_rad]]/2))</f>
        <v>1184.3077010008933</v>
      </c>
      <c r="G278">
        <f>表格1[[#This Row],[Morie Lattice]]/3^0.5</f>
        <v>683.76036997621259</v>
      </c>
      <c r="H278" s="5">
        <v>12.062078489999999</v>
      </c>
      <c r="I278">
        <f>表格1[[#This Row],[length(BM)]]*2</f>
        <v>24.124156979999999</v>
      </c>
    </row>
    <row r="279" spans="1:9" x14ac:dyDescent="0.25">
      <c r="A279">
        <v>278</v>
      </c>
      <c r="B279">
        <v>2.0730702421080881E-3</v>
      </c>
      <c r="C279">
        <v>0.1187781755069572</v>
      </c>
      <c r="D279">
        <v>5.5217602500659746</v>
      </c>
      <c r="E279">
        <v>30.489836259208651</v>
      </c>
      <c r="F279">
        <f>2.464/(2*SIN(表格1[[#This Row],[theta_rad]]/2))</f>
        <v>1188.5754718647529</v>
      </c>
      <c r="G279">
        <f>表格1[[#This Row],[Morie Lattice]]/3^0.5</f>
        <v>686.22436863330154</v>
      </c>
      <c r="H279" s="5">
        <v>12.10554541</v>
      </c>
      <c r="I279">
        <f>表格1[[#This Row],[length(BM)]]*2</f>
        <v>24.211090819999999</v>
      </c>
    </row>
    <row r="280" spans="1:9" x14ac:dyDescent="0.25">
      <c r="A280">
        <v>279</v>
      </c>
      <c r="B280">
        <v>2.0656531803071288E-3</v>
      </c>
      <c r="C280">
        <v>0.1183532091693745</v>
      </c>
      <c r="D280">
        <v>5.541587016133966</v>
      </c>
      <c r="E280">
        <v>30.709186657384549</v>
      </c>
      <c r="F280">
        <f>2.464/(2*SIN(表格1[[#This Row],[theta_rad]]/2))</f>
        <v>1192.8432427869936</v>
      </c>
      <c r="G280">
        <f>表格1[[#This Row],[Morie Lattice]]/3^0.5</f>
        <v>688.68836732409693</v>
      </c>
      <c r="H280" s="5">
        <v>12.14901233</v>
      </c>
      <c r="I280">
        <f>表格1[[#This Row],[length(BM)]]*2</f>
        <v>24.298024659999999</v>
      </c>
    </row>
    <row r="281" spans="1:9" x14ac:dyDescent="0.25">
      <c r="A281">
        <v>280</v>
      </c>
      <c r="B281">
        <v>2.0582890030670471E-3</v>
      </c>
      <c r="C281">
        <v>0.1179312728939315</v>
      </c>
      <c r="D281">
        <v>5.5614137821674943</v>
      </c>
      <c r="E281">
        <v>30.929323256482551</v>
      </c>
      <c r="F281">
        <f>2.464/(2*SIN(表格1[[#This Row],[theta_rad]]/2))</f>
        <v>1197.1110137018154</v>
      </c>
      <c r="G281">
        <f>表格1[[#This Row],[Morie Lattice]]/3^0.5</f>
        <v>691.15236601060894</v>
      </c>
      <c r="H281" s="5">
        <v>12.19247925</v>
      </c>
      <c r="I281">
        <f>表格1[[#This Row],[length(BM)]]*2</f>
        <v>24.3849585</v>
      </c>
    </row>
    <row r="282" spans="1:9" x14ac:dyDescent="0.25">
      <c r="A282">
        <v>281</v>
      </c>
      <c r="B282">
        <v>2.0509771467477019E-3</v>
      </c>
      <c r="C282">
        <v>0.117512334386427</v>
      </c>
      <c r="D282">
        <v>5.5812405482732279</v>
      </c>
      <c r="E282">
        <v>31.150246057689241</v>
      </c>
      <c r="F282">
        <f>2.464/(2*SIN(表格1[[#This Row],[theta_rad]]/2))</f>
        <v>1201.3787846321804</v>
      </c>
      <c r="G282">
        <f>表格1[[#This Row],[Morie Lattice]]/3^0.5</f>
        <v>693.61636470609483</v>
      </c>
      <c r="H282" s="5">
        <v>12.23594617</v>
      </c>
      <c r="I282">
        <f>表格1[[#This Row],[length(BM)]]*2</f>
        <v>24.47189234</v>
      </c>
    </row>
    <row r="283" spans="1:9" x14ac:dyDescent="0.25">
      <c r="A283">
        <v>282</v>
      </c>
      <c r="B283">
        <v>2.043717055695185E-3</v>
      </c>
      <c r="C283">
        <v>0.1170963618102371</v>
      </c>
      <c r="D283">
        <v>5.6010673145443217</v>
      </c>
      <c r="E283">
        <v>31.371955062056738</v>
      </c>
      <c r="F283">
        <f>2.464/(2*SIN(表格1[[#This Row],[theta_rad]]/2))</f>
        <v>1205.6465555981395</v>
      </c>
      <c r="G283">
        <f>表格1[[#This Row],[Morie Lattice]]/3^0.5</f>
        <v>696.08036342213097</v>
      </c>
      <c r="H283" s="5">
        <v>12.279413079999999</v>
      </c>
      <c r="I283">
        <f>表格1[[#This Row],[length(BM)]]*2</f>
        <v>24.558826159999999</v>
      </c>
    </row>
    <row r="284" spans="1:9" x14ac:dyDescent="0.25">
      <c r="A284">
        <v>283</v>
      </c>
      <c r="B284">
        <v>2.0365081822000999E-3</v>
      </c>
      <c r="C284">
        <v>0.116683323783925</v>
      </c>
      <c r="D284">
        <v>5.6208940807865382</v>
      </c>
      <c r="E284">
        <v>31.594450267421141</v>
      </c>
      <c r="F284">
        <f>2.464/(2*SIN(表格1[[#This Row],[theta_rad]]/2))</f>
        <v>1209.9143265578821</v>
      </c>
      <c r="G284">
        <f>表格1[[#This Row],[Morie Lattice]]/3^0.5</f>
        <v>698.54436213457802</v>
      </c>
      <c r="H284" s="5">
        <v>12.32288</v>
      </c>
      <c r="I284">
        <f>表格1[[#This Row],[length(BM)]]*2</f>
        <v>24.645759999999999</v>
      </c>
    </row>
    <row r="285" spans="1:9" x14ac:dyDescent="0.25">
      <c r="A285">
        <v>284</v>
      </c>
      <c r="B285">
        <v>2.029349986122149E-3</v>
      </c>
      <c r="C285">
        <v>0.1162731893597313</v>
      </c>
      <c r="D285">
        <v>5.640720847168545</v>
      </c>
      <c r="E285">
        <v>31.817731675681831</v>
      </c>
      <c r="F285">
        <f>2.464/(2*SIN(表格1[[#This Row],[theta_rad]]/2))</f>
        <v>1214.1820975477153</v>
      </c>
      <c r="G285">
        <f>表格1[[#This Row],[Morie Lattice]]/3^0.5</f>
        <v>701.0083608643979</v>
      </c>
      <c r="H285" s="5">
        <v>12.36634692</v>
      </c>
      <c r="I285">
        <f>表格1[[#This Row],[length(BM)]]*2</f>
        <v>24.73269384</v>
      </c>
    </row>
    <row r="286" spans="1:9" x14ac:dyDescent="0.25">
      <c r="A286">
        <v>285</v>
      </c>
      <c r="B286">
        <v>2.0222419349964359E-3</v>
      </c>
      <c r="C286">
        <v>0.11586592802966469</v>
      </c>
      <c r="D286">
        <v>5.6605476135597446</v>
      </c>
      <c r="E286">
        <v>32.041799285376932</v>
      </c>
      <c r="F286">
        <f>2.464/(2*SIN(表格1[[#This Row],[theta_rad]]/2))</f>
        <v>1218.4498685395276</v>
      </c>
      <c r="G286">
        <f>表格1[[#This Row],[Morie Lattice]]/3^0.5</f>
        <v>703.47235959536044</v>
      </c>
      <c r="H286" s="5">
        <v>12.40981384</v>
      </c>
      <c r="I286">
        <f>表格1[[#This Row],[length(BM)]]*2</f>
        <v>24.81962768</v>
      </c>
    </row>
    <row r="287" spans="1:9" x14ac:dyDescent="0.25">
      <c r="A287">
        <v>286</v>
      </c>
      <c r="B287">
        <v>2.0151835036969728E-3</v>
      </c>
      <c r="C287">
        <v>0.1154615097062225</v>
      </c>
      <c r="D287">
        <v>5.680374380095917</v>
      </c>
      <c r="E287">
        <v>32.266653098050071</v>
      </c>
      <c r="F287">
        <f>2.464/(2*SIN(表格1[[#This Row],[theta_rad]]/2))</f>
        <v>1222.7176395625459</v>
      </c>
      <c r="G287">
        <f>表格1[[#This Row],[Morie Lattice]]/3^0.5</f>
        <v>705.93635834433974</v>
      </c>
      <c r="H287" s="5">
        <v>12.45328076</v>
      </c>
      <c r="I287">
        <f>表格1[[#This Row],[length(BM)]]*2</f>
        <v>24.90656152</v>
      </c>
    </row>
    <row r="288" spans="1:9" x14ac:dyDescent="0.25">
      <c r="A288">
        <v>287</v>
      </c>
      <c r="B288">
        <v>2.0081741744758688E-3</v>
      </c>
      <c r="C288">
        <v>0.1150599047246355</v>
      </c>
      <c r="D288">
        <v>5.7002011467103708</v>
      </c>
      <c r="E288">
        <v>32.49229311295823</v>
      </c>
      <c r="F288">
        <f>2.464/(2*SIN(表格1[[#This Row],[theta_rad]]/2))</f>
        <v>1226.9854106024134</v>
      </c>
      <c r="G288">
        <f>表格1[[#This Row],[Morie Lattice]]/3^0.5</f>
        <v>708.40035710304687</v>
      </c>
      <c r="H288" s="5">
        <v>12.49674768</v>
      </c>
      <c r="I288">
        <f>表格1[[#This Row],[length(BM)]]*2</f>
        <v>24.993495360000001</v>
      </c>
    </row>
    <row r="289" spans="1:9" x14ac:dyDescent="0.25">
      <c r="A289">
        <v>288</v>
      </c>
      <c r="B289">
        <v>2.0012134367773382E-3</v>
      </c>
      <c r="C289">
        <v>0.1146610838322121</v>
      </c>
      <c r="D289">
        <v>5.720027913296506</v>
      </c>
      <c r="E289">
        <v>32.718719328891183</v>
      </c>
      <c r="F289">
        <f>2.464/(2*SIN(表格1[[#This Row],[theta_rad]]/2))</f>
        <v>1231.2531816361859</v>
      </c>
      <c r="G289">
        <f>表格1[[#This Row],[Morie Lattice]]/3^0.5</f>
        <v>710.86435585823517</v>
      </c>
      <c r="H289" s="5">
        <v>12.540214600000001</v>
      </c>
      <c r="I289">
        <f>表格1[[#This Row],[length(BM)]]*2</f>
        <v>25.080429200000001</v>
      </c>
    </row>
    <row r="290" spans="1:9" x14ac:dyDescent="0.25">
      <c r="A290">
        <v>289</v>
      </c>
      <c r="B290">
        <v>1.994300786988121E-3</v>
      </c>
      <c r="C290">
        <v>0.11426501817403791</v>
      </c>
      <c r="D290">
        <v>5.7398546800679782</v>
      </c>
      <c r="E290">
        <v>32.945931748298271</v>
      </c>
      <c r="F290">
        <f>2.464/(2*SIN(表格1[[#This Row],[theta_rad]]/2))</f>
        <v>1235.5209527098527</v>
      </c>
      <c r="G290">
        <f>表格1[[#This Row],[Morie Lattice]]/3^0.5</f>
        <v>713.32835463645642</v>
      </c>
      <c r="H290" s="5">
        <v>12.583681520000001</v>
      </c>
      <c r="I290">
        <f>表格1[[#This Row],[length(BM)]]*2</f>
        <v>25.167363040000001</v>
      </c>
    </row>
    <row r="291" spans="1:9" x14ac:dyDescent="0.25">
      <c r="A291">
        <v>290</v>
      </c>
      <c r="B291">
        <v>1.9874357285698391E-3</v>
      </c>
      <c r="C291">
        <v>0.11387167930055959</v>
      </c>
      <c r="D291">
        <v>5.7596814468343602</v>
      </c>
      <c r="E291">
        <v>33.173930369007948</v>
      </c>
      <c r="F291">
        <f>2.464/(2*SIN(表格1[[#This Row],[theta_rad]]/2))</f>
        <v>1239.7887237824241</v>
      </c>
      <c r="G291">
        <f>表格1[[#This Row],[Morie Lattice]]/3^0.5</f>
        <v>715.79235341404512</v>
      </c>
      <c r="H291" s="5">
        <v>12.627148439999999</v>
      </c>
      <c r="I291">
        <f>表格1[[#This Row],[length(BM)]]*2</f>
        <v>25.254296879999998</v>
      </c>
    </row>
    <row r="292" spans="1:9" x14ac:dyDescent="0.25">
      <c r="A292">
        <v>291</v>
      </c>
      <c r="B292">
        <v>1.9806177716857982E-3</v>
      </c>
      <c r="C292">
        <v>0.1134810391462019</v>
      </c>
      <c r="D292">
        <v>5.7795082137290494</v>
      </c>
      <c r="E292">
        <v>33.402715192561537</v>
      </c>
      <c r="F292">
        <f>2.464/(2*SIN(表格1[[#This Row],[theta_rad]]/2))</f>
        <v>1244.0564948826134</v>
      </c>
      <c r="G292">
        <f>表格1[[#This Row],[Morie Lattice]]/3^0.5</f>
        <v>718.2563522075792</v>
      </c>
      <c r="H292" s="5">
        <v>12.670615359999999</v>
      </c>
      <c r="I292">
        <f>表格1[[#This Row],[length(BM)]]*2</f>
        <v>25.341230719999999</v>
      </c>
    </row>
    <row r="293" spans="1:9" x14ac:dyDescent="0.25">
      <c r="A293">
        <v>292</v>
      </c>
      <c r="B293">
        <v>1.9738464333225389E-3</v>
      </c>
      <c r="C293">
        <v>0.11309307003633221</v>
      </c>
      <c r="D293">
        <v>5.7993349805211336</v>
      </c>
      <c r="E293">
        <v>33.632286216296059</v>
      </c>
      <c r="F293">
        <f>2.464/(2*SIN(表格1[[#This Row],[theta_rad]]/2))</f>
        <v>1248.3242659607176</v>
      </c>
      <c r="G293">
        <f>表格1[[#This Row],[Morie Lattice]]/3^0.5</f>
        <v>720.72035098836238</v>
      </c>
      <c r="H293" s="5">
        <v>12.71408228</v>
      </c>
      <c r="I293">
        <f>表格1[[#This Row],[length(BM)]]*2</f>
        <v>25.428164559999999</v>
      </c>
    </row>
    <row r="294" spans="1:9" x14ac:dyDescent="0.25">
      <c r="A294">
        <v>293</v>
      </c>
      <c r="B294">
        <v>1.9671212368458902E-3</v>
      </c>
      <c r="C294">
        <v>0.1127077446618239</v>
      </c>
      <c r="D294">
        <v>5.8191617475785877</v>
      </c>
      <c r="E294">
        <v>33.862643444481883</v>
      </c>
      <c r="F294">
        <f>2.464/(2*SIN(表格1[[#This Row],[theta_rad]]/2))</f>
        <v>1252.5920370959425</v>
      </c>
      <c r="G294">
        <f>表格1[[#This Row],[Morie Lattice]]/3^0.5</f>
        <v>723.18434980212419</v>
      </c>
      <c r="H294" s="5">
        <v>12.7575492</v>
      </c>
      <c r="I294">
        <f>表格1[[#This Row],[length(BM)]]*2</f>
        <v>25.515098399999999</v>
      </c>
    </row>
    <row r="295" spans="1:9" x14ac:dyDescent="0.25">
      <c r="A295">
        <v>294</v>
      </c>
      <c r="B295">
        <v>1.96044171233716E-3</v>
      </c>
      <c r="C295">
        <v>0.11232503609831949</v>
      </c>
      <c r="D295">
        <v>5.8389885145546021</v>
      </c>
      <c r="E295">
        <v>34.093786873100562</v>
      </c>
      <c r="F295">
        <f>2.464/(2*SIN(表格1[[#This Row],[theta_rad]]/2))</f>
        <v>1256.8598082136382</v>
      </c>
      <c r="G295">
        <f>表格1[[#This Row],[Morie Lattice]]/3^0.5</f>
        <v>725.64834860576548</v>
      </c>
      <c r="H295" s="5">
        <v>12.80101612</v>
      </c>
      <c r="I295">
        <f>表格1[[#This Row],[length(BM)]]*2</f>
        <v>25.60203224</v>
      </c>
    </row>
    <row r="296" spans="1:9" x14ac:dyDescent="0.25">
      <c r="A296">
        <v>295</v>
      </c>
      <c r="B296">
        <v>1.9538073960236142E-3</v>
      </c>
      <c r="C296">
        <v>0.1119449177735985</v>
      </c>
      <c r="D296">
        <v>5.8588152817424692</v>
      </c>
      <c r="E296">
        <v>34.325716505579088</v>
      </c>
      <c r="F296">
        <f>2.464/(2*SIN(表格1[[#This Row],[theta_rad]]/2))</f>
        <v>1261.127579376935</v>
      </c>
      <c r="G296">
        <f>表格1[[#This Row],[Morie Lattice]]/3^0.5</f>
        <v>728.11234743573459</v>
      </c>
      <c r="H296" s="5">
        <v>12.84448304</v>
      </c>
      <c r="I296">
        <f>表格1[[#This Row],[length(BM)]]*2</f>
        <v>25.68896608</v>
      </c>
    </row>
    <row r="297" spans="1:9" x14ac:dyDescent="0.25">
      <c r="A297">
        <v>296</v>
      </c>
      <c r="B297">
        <v>1.947217830549126E-3</v>
      </c>
      <c r="C297">
        <v>0.1115673634830852</v>
      </c>
      <c r="D297">
        <v>5.8786420489564746</v>
      </c>
      <c r="E297">
        <v>34.558432339759179</v>
      </c>
      <c r="F297">
        <f>2.464/(2*SIN(表格1[[#This Row],[theta_rad]]/2))</f>
        <v>1265.3953505458583</v>
      </c>
      <c r="G297">
        <f>表格1[[#This Row],[Morie Lattice]]/3^0.5</f>
        <v>730.57634626895219</v>
      </c>
      <c r="H297" s="5">
        <v>12.88794996</v>
      </c>
      <c r="I297">
        <f>表格1[[#This Row],[length(BM)]]*2</f>
        <v>25.775899920000001</v>
      </c>
    </row>
    <row r="298" spans="1:9" x14ac:dyDescent="0.25">
      <c r="A298">
        <v>297</v>
      </c>
      <c r="B298">
        <v>1.9406725646749961E-3</v>
      </c>
      <c r="C298">
        <v>0.1111923473727065</v>
      </c>
      <c r="D298">
        <v>5.8984688161053258</v>
      </c>
      <c r="E298">
        <v>34.791934374566956</v>
      </c>
      <c r="F298">
        <f>2.464/(2*SIN(表格1[[#This Row],[theta_rad]]/2))</f>
        <v>1269.6631217007568</v>
      </c>
      <c r="G298">
        <f>表格1[[#This Row],[Morie Lattice]]/3^0.5</f>
        <v>733.04034509407256</v>
      </c>
      <c r="H298" s="5">
        <v>12.93141688</v>
      </c>
      <c r="I298">
        <f>表格1[[#This Row],[length(BM)]]*2</f>
        <v>25.862833760000001</v>
      </c>
    </row>
    <row r="299" spans="1:9" x14ac:dyDescent="0.25">
      <c r="A299">
        <v>298</v>
      </c>
      <c r="B299">
        <v>1.934171153086237E-3</v>
      </c>
      <c r="C299">
        <v>0.1108198439277932</v>
      </c>
      <c r="D299">
        <v>5.9182955834729691</v>
      </c>
      <c r="E299">
        <v>35.02622261335565</v>
      </c>
      <c r="F299">
        <f>2.464/(2*SIN(表格1[[#This Row],[theta_rad]]/2))</f>
        <v>1273.9308929027518</v>
      </c>
      <c r="G299">
        <f>表格1[[#This Row],[Morie Lattice]]/3^0.5</f>
        <v>735.5043439463841</v>
      </c>
      <c r="H299" s="5">
        <v>12.974883800000001</v>
      </c>
      <c r="I299">
        <f>表格1[[#This Row],[length(BM)]]*2</f>
        <v>25.949767600000001</v>
      </c>
    </row>
    <row r="300" spans="1:9" x14ac:dyDescent="0.25">
      <c r="A300">
        <v>299</v>
      </c>
      <c r="B300">
        <v>1.927713156593968E-3</v>
      </c>
      <c r="C300">
        <v>0.1104498279846759</v>
      </c>
      <c r="D300">
        <v>5.938122350796827</v>
      </c>
      <c r="E300">
        <v>35.261297053032827</v>
      </c>
      <c r="F300">
        <f>2.464/(2*SIN(表格1[[#This Row],[theta_rad]]/2))</f>
        <v>1278.198664095321</v>
      </c>
      <c r="G300">
        <f>表格1[[#This Row],[Morie Lattice]]/3^0.5</f>
        <v>737.96834279325367</v>
      </c>
      <c r="H300" s="5">
        <v>13.018350720000001</v>
      </c>
      <c r="I300">
        <f>表格1[[#This Row],[length(BM)]]*2</f>
        <v>26.036701440000002</v>
      </c>
    </row>
  </sheetData>
  <phoneticPr fontId="3" type="noConversion"/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D5C4-06D3-4203-B058-7E1DEE349A0D}">
  <dimension ref="A1:F151"/>
  <sheetViews>
    <sheetView tabSelected="1" topLeftCell="A19" workbookViewId="0">
      <selection activeCell="T32" sqref="T32"/>
    </sheetView>
  </sheetViews>
  <sheetFormatPr defaultRowHeight="15.75" x14ac:dyDescent="0.25"/>
  <cols>
    <col min="2" max="2" width="14" customWidth="1"/>
    <col min="3" max="4" width="14.42578125" customWidth="1"/>
    <col min="5" max="6" width="13.7109375" customWidth="1"/>
  </cols>
  <sheetData>
    <row r="1" spans="1:6" x14ac:dyDescent="0.25">
      <c r="A1" s="9" t="s">
        <v>0</v>
      </c>
      <c r="B1" s="9" t="s">
        <v>14</v>
      </c>
      <c r="C1" s="9" t="s">
        <v>15</v>
      </c>
      <c r="D1" s="9" t="s">
        <v>17</v>
      </c>
      <c r="E1" s="9" t="s">
        <v>16</v>
      </c>
      <c r="F1" s="9" t="s">
        <v>18</v>
      </c>
    </row>
    <row r="2" spans="1:6" x14ac:dyDescent="0.25">
      <c r="A2">
        <v>20</v>
      </c>
      <c r="B2">
        <v>2.8161566434298211E-2</v>
      </c>
      <c r="C2" s="10">
        <v>0.40648921668248561</v>
      </c>
      <c r="D2">
        <f>表格2[[#This Row],[alpha_range]]*表格2[[#This Row],[alpha_range]]</f>
        <v>0.16523348327914072</v>
      </c>
      <c r="E2">
        <v>0.13302793905902241</v>
      </c>
      <c r="F2">
        <f>LOG10(表格2[[#This Row],[theta_slope]])</f>
        <v>-0.87605713719170064</v>
      </c>
    </row>
    <row r="3" spans="1:6" x14ac:dyDescent="0.25">
      <c r="A3">
        <v>21</v>
      </c>
      <c r="B3">
        <v>2.685188737192103E-2</v>
      </c>
      <c r="C3" s="10">
        <v>0.42631411921029921</v>
      </c>
      <c r="D3">
        <f>表格2[[#This Row],[alpha_range]]*表格2[[#This Row],[alpha_range]]</f>
        <v>0.18174372823805321</v>
      </c>
      <c r="E3">
        <v>0.10811840840009369</v>
      </c>
      <c r="F3">
        <f>LOG10(表格2[[#This Row],[theta_slope]])</f>
        <v>-0.96610035613040057</v>
      </c>
    </row>
    <row r="4" spans="1:6" x14ac:dyDescent="0.25">
      <c r="A4">
        <v>22</v>
      </c>
      <c r="B4">
        <v>2.5658604146265869E-2</v>
      </c>
      <c r="C4" s="10">
        <v>0.44613918830092181</v>
      </c>
      <c r="D4">
        <f>表格2[[#This Row],[alpha_range]]*表格2[[#This Row],[alpha_range]]</f>
        <v>0.19904017533780535</v>
      </c>
      <c r="E4">
        <v>8.6179498467499546E-2</v>
      </c>
      <c r="F4">
        <f>LOG10(表格2[[#This Row],[theta_slope]])</f>
        <v>-1.0645960376720098</v>
      </c>
    </row>
    <row r="5" spans="1:6" x14ac:dyDescent="0.25">
      <c r="A5">
        <v>23</v>
      </c>
      <c r="B5">
        <v>2.4566860915546981E-2</v>
      </c>
      <c r="C5" s="10">
        <v>0.46596440269459849</v>
      </c>
      <c r="D5">
        <f>表格2[[#This Row],[alpha_range]]*表格2[[#This Row],[alpha_range]]</f>
        <v>0.21712282457853394</v>
      </c>
      <c r="E5">
        <v>6.7151191979075611E-2</v>
      </c>
      <c r="F5">
        <f>LOG10(表格2[[#This Row],[theta_slope]])</f>
        <v>-1.1729462739060543</v>
      </c>
    </row>
    <row r="6" spans="1:6" x14ac:dyDescent="0.25">
      <c r="A6">
        <v>24</v>
      </c>
      <c r="B6">
        <v>2.3564226668096801E-2</v>
      </c>
      <c r="C6" s="10">
        <v>0.4857897446016497</v>
      </c>
      <c r="D6">
        <f>表格2[[#This Row],[alpha_range]]*表格2[[#This Row],[alpha_range]]</f>
        <v>0.23599167596013604</v>
      </c>
      <c r="E6">
        <v>5.0904933848469898E-2</v>
      </c>
      <c r="F6">
        <f>LOG10(表格2[[#This Row],[theta_slope]])</f>
        <v>-1.2932401225881658</v>
      </c>
    </row>
    <row r="7" spans="1:6" x14ac:dyDescent="0.25">
      <c r="A7">
        <v>25</v>
      </c>
      <c r="B7">
        <v>2.2640219901316028E-2</v>
      </c>
      <c r="C7" s="10">
        <v>0.5056151990225175</v>
      </c>
      <c r="D7">
        <f>表格2[[#This Row],[alpha_range]]*表格2[[#This Row],[alpha_range]]</f>
        <v>0.25564672948257999</v>
      </c>
      <c r="E7">
        <v>3.7254245977246983E-2</v>
      </c>
      <c r="F7">
        <f>LOG10(表格2[[#This Row],[theta_slope]])</f>
        <v>-1.4288242222606193</v>
      </c>
    </row>
    <row r="8" spans="1:6" x14ac:dyDescent="0.25">
      <c r="A8">
        <v>26</v>
      </c>
      <c r="B8">
        <v>2.1785940886646579E-2</v>
      </c>
      <c r="C8" s="10">
        <v>0.52544075322161321</v>
      </c>
      <c r="D8">
        <f>表格2[[#This Row],[alpha_range]]*表格2[[#This Row],[alpha_range]]</f>
        <v>0.27608798514609623</v>
      </c>
      <c r="E8">
        <v>2.5966629008307041E-2</v>
      </c>
      <c r="F8">
        <f>LOG10(表格2[[#This Row],[theta_slope]])</f>
        <v>-1.5855844268864938</v>
      </c>
    </row>
    <row r="9" spans="1:6" x14ac:dyDescent="0.25">
      <c r="A9">
        <v>27</v>
      </c>
      <c r="B9">
        <v>2.0993784144368879E-2</v>
      </c>
      <c r="C9" s="10">
        <v>0.54526639631499063</v>
      </c>
      <c r="D9">
        <f>表格2[[#This Row],[alpha_range]]*表格2[[#This Row],[alpha_range]]</f>
        <v>0.29731544295033641</v>
      </c>
      <c r="E9">
        <v>1.677601377214917E-2</v>
      </c>
      <c r="F9">
        <f>LOG10(表格2[[#This Row],[theta_slope]])</f>
        <v>-1.7753112260116006</v>
      </c>
    </row>
    <row r="10" spans="1:6" x14ac:dyDescent="0.25">
      <c r="A10">
        <v>28</v>
      </c>
      <c r="B10">
        <v>2.0257211433648309E-2</v>
      </c>
      <c r="C10" s="10">
        <v>0.56509211894657219</v>
      </c>
      <c r="D10">
        <f>表格2[[#This Row],[alpha_range]]*表格2[[#This Row],[alpha_range]]</f>
        <v>0.31932910289552691</v>
      </c>
      <c r="E10">
        <v>9.3950826768396476E-3</v>
      </c>
      <c r="F10">
        <f>LOG10(表格2[[#This Row],[theta_slope]])</f>
        <v>-2.0270993937500172</v>
      </c>
    </row>
    <row r="11" spans="1:6" x14ac:dyDescent="0.25">
      <c r="A11">
        <v>29</v>
      </c>
      <c r="B11">
        <v>1.9570570902621331E-2</v>
      </c>
      <c r="C11" s="10">
        <v>0.58491791302848717</v>
      </c>
      <c r="D11">
        <f>表格2[[#This Row],[alpha_range]]*表格2[[#This Row],[alpha_range]]</f>
        <v>0.34212896498160089</v>
      </c>
      <c r="E11">
        <v>3.530101238928753E-3</v>
      </c>
      <c r="F11">
        <f>LOG10(表格2[[#This Row],[theta_slope]])</f>
        <v>-2.4522128394060476</v>
      </c>
    </row>
    <row r="12" spans="1:6" ht="16.5" x14ac:dyDescent="0.25">
      <c r="A12" s="3">
        <v>30</v>
      </c>
      <c r="B12" s="3">
        <v>1.8928951807174708E-2</v>
      </c>
      <c r="C12" s="11">
        <v>0.60474377153364056</v>
      </c>
      <c r="D12" s="3">
        <f>表格2[[#This Row],[alpha_range]]*表格2[[#This Row],[alpha_range]]</f>
        <v>0.36571502920873206</v>
      </c>
      <c r="E12" s="3">
        <v>1.4270622455405911E-3</v>
      </c>
      <c r="F12" s="3">
        <f>LOG10(表格2[[#This Row],[theta_slope]])</f>
        <v>-2.845557083433893</v>
      </c>
    </row>
    <row r="13" spans="1:6" x14ac:dyDescent="0.25">
      <c r="A13">
        <v>31</v>
      </c>
      <c r="B13">
        <v>1.8328066896350938E-2</v>
      </c>
      <c r="C13" s="10">
        <v>0.62456968832675142</v>
      </c>
      <c r="D13">
        <f>表格2[[#This Row],[alpha_range]]*表格2[[#This Row],[alpha_range]]</f>
        <v>0.3900872955765754</v>
      </c>
      <c r="E13">
        <v>4.8456362685155279E-3</v>
      </c>
      <c r="F13">
        <f>LOG10(表格2[[#This Row],[theta_slope]])</f>
        <v>-2.3146491887344665</v>
      </c>
    </row>
    <row r="14" spans="1:6" x14ac:dyDescent="0.25">
      <c r="A14">
        <v>32</v>
      </c>
      <c r="B14">
        <v>1.7764156506746079E-2</v>
      </c>
      <c r="C14" s="10">
        <v>0.64439565802804322</v>
      </c>
      <c r="D14">
        <f>表格2[[#This Row],[alpha_range]]*表格2[[#This Row],[alpha_range]]</f>
        <v>0.41524576408539482</v>
      </c>
      <c r="E14">
        <v>7.9047396544663553E-3</v>
      </c>
      <c r="F14">
        <f>LOG10(表格2[[#This Row],[theta_slope]])</f>
        <v>-2.1021124291461395</v>
      </c>
    </row>
    <row r="15" spans="1:6" x14ac:dyDescent="0.25">
      <c r="A15">
        <v>33</v>
      </c>
      <c r="B15">
        <v>1.7233909830795799E-2</v>
      </c>
      <c r="C15" s="10">
        <v>0.66422167589982828</v>
      </c>
      <c r="D15">
        <f>表格2[[#This Row],[alpha_range]]*表格2[[#This Row],[alpha_range]]</f>
        <v>0.4411904347351765</v>
      </c>
      <c r="E15">
        <v>1.054713085683554E-2</v>
      </c>
      <c r="F15">
        <f>LOG10(表格2[[#This Row],[theta_slope]])</f>
        <v>-1.9768656657227888</v>
      </c>
    </row>
    <row r="16" spans="1:6" x14ac:dyDescent="0.25">
      <c r="A16">
        <v>34</v>
      </c>
      <c r="B16">
        <v>1.673439987505166E-2</v>
      </c>
      <c r="C16" s="10">
        <v>0.68404773775343264</v>
      </c>
      <c r="D16">
        <f>表格2[[#This Row],[alpha_range]]*表格2[[#This Row],[alpha_range]]</f>
        <v>0.46792130752558897</v>
      </c>
      <c r="E16">
        <v>1.299007994345054E-2</v>
      </c>
      <c r="F16">
        <f>LOG10(表格2[[#This Row],[theta_slope]])</f>
        <v>-1.8863881761869721</v>
      </c>
    </row>
    <row r="17" spans="1:6" x14ac:dyDescent="0.25">
      <c r="A17">
        <v>35</v>
      </c>
      <c r="B17">
        <v>1.6263029409546551E-2</v>
      </c>
      <c r="C17" s="10">
        <v>0.70387383987266172</v>
      </c>
      <c r="D17">
        <f>表格2[[#This Row],[alpha_range]]*表格2[[#This Row],[alpha_range]]</f>
        <v>0.49543838245708544</v>
      </c>
      <c r="E17">
        <v>1.541993027234782E-2</v>
      </c>
      <c r="F17">
        <f>LOG10(表格2[[#This Row],[theta_slope]])</f>
        <v>-1.8119175901244291</v>
      </c>
    </row>
    <row r="18" spans="1:6" x14ac:dyDescent="0.25">
      <c r="A18">
        <v>36</v>
      </c>
      <c r="B18">
        <v>1.5817485800822869E-2</v>
      </c>
      <c r="C18" s="10">
        <v>0.72369997894806182</v>
      </c>
      <c r="D18">
        <f>表格2[[#This Row],[alpha_range]]*表格2[[#This Row],[alpha_range]]</f>
        <v>0.52374165952942509</v>
      </c>
      <c r="E18">
        <v>1.7990508836355421E-2</v>
      </c>
      <c r="F18">
        <f>LOG10(表格2[[#This Row],[theta_slope]])</f>
        <v>-1.7449565530693347</v>
      </c>
    </row>
    <row r="19" spans="1:6" x14ac:dyDescent="0.25">
      <c r="A19">
        <v>37</v>
      </c>
      <c r="B19">
        <v>1.53957030705399E-2</v>
      </c>
      <c r="C19" s="10">
        <v>0.74352615202358097</v>
      </c>
      <c r="D19">
        <f>表格2[[#This Row],[alpha_range]]*表格2[[#This Row],[alpha_range]]</f>
        <v>0.55283113874299328</v>
      </c>
      <c r="E19">
        <v>2.0823140941056559E-2</v>
      </c>
      <c r="F19">
        <f>LOG10(表格2[[#This Row],[theta_slope]])</f>
        <v>-1.6814537613536067</v>
      </c>
    </row>
    <row r="20" spans="1:6" x14ac:dyDescent="0.25">
      <c r="A20">
        <v>38</v>
      </c>
      <c r="B20">
        <v>1.4995829866230289E-2</v>
      </c>
      <c r="C20" s="10">
        <v>0.76335235644936839</v>
      </c>
      <c r="D20">
        <f>表格2[[#This Row],[alpha_range]]*表格2[[#This Row],[alpha_range]]</f>
        <v>0.58270682009680352</v>
      </c>
      <c r="E20">
        <v>2.400883282605986E-2</v>
      </c>
      <c r="F20">
        <f>LOG10(表格2[[#This Row],[theta_slope]])</f>
        <v>-1.6196289523762366</v>
      </c>
    </row>
    <row r="21" spans="1:6" x14ac:dyDescent="0.25">
      <c r="A21">
        <v>39</v>
      </c>
      <c r="B21">
        <v>1.4616202296524919E-2</v>
      </c>
      <c r="C21" s="10">
        <v>0.78317858984533706</v>
      </c>
      <c r="D21">
        <f>表格2[[#This Row],[alpha_range]]*表格2[[#This Row],[alpha_range]]</f>
        <v>0.61336870359213069</v>
      </c>
      <c r="E21">
        <v>2.7613807553505929E-2</v>
      </c>
      <c r="F21">
        <f>LOG10(表格2[[#This Row],[theta_slope]])</f>
        <v>-1.5588737061652298</v>
      </c>
    </row>
    <row r="22" spans="1:6" x14ac:dyDescent="0.25">
      <c r="A22">
        <v>40</v>
      </c>
      <c r="B22">
        <v>1.425532079037181E-2</v>
      </c>
      <c r="C22" s="10">
        <v>0.80300485006526268</v>
      </c>
      <c r="D22">
        <f>表格2[[#This Row],[alpha_range]]*表格2[[#This Row],[alpha_range]]</f>
        <v>0.64481678922833496</v>
      </c>
      <c r="E22">
        <v>3.1690342298055237E-2</v>
      </c>
      <c r="F22">
        <f>LOG10(表格2[[#This Row],[theta_slope]])</f>
        <v>-1.4990730698234673</v>
      </c>
    </row>
    <row r="23" spans="1:6" x14ac:dyDescent="0.25">
      <c r="A23">
        <v>41</v>
      </c>
      <c r="B23">
        <v>1.391183030141958E-2</v>
      </c>
      <c r="C23" s="10">
        <v>0.82283113517008977</v>
      </c>
      <c r="D23">
        <f>表格2[[#This Row],[alpha_range]]*表格2[[#This Row],[alpha_range]]</f>
        <v>0.67705107700529854</v>
      </c>
      <c r="E23">
        <v>3.6295248777451633E-2</v>
      </c>
      <c r="F23">
        <f>LOG10(表格2[[#This Row],[theta_slope]])</f>
        <v>-1.4401502224786422</v>
      </c>
    </row>
    <row r="24" spans="1:6" x14ac:dyDescent="0.25">
      <c r="A24">
        <v>42</v>
      </c>
      <c r="B24">
        <v>1.3584503306787321E-2</v>
      </c>
      <c r="C24" s="10">
        <v>0.84265744340328996</v>
      </c>
      <c r="D24">
        <f>表格2[[#This Row],[alpha_range]]*表格2[[#This Row],[alpha_range]]</f>
        <v>0.7100715669229688</v>
      </c>
      <c r="E24">
        <v>4.1517086653109582E-2</v>
      </c>
      <c r="F24">
        <f>LOG10(表格2[[#This Row],[theta_slope]])</f>
        <v>-1.3817731295061801</v>
      </c>
    </row>
    <row r="25" spans="1:6" x14ac:dyDescent="0.25">
      <c r="A25">
        <v>43</v>
      </c>
      <c r="B25">
        <v>1.3272225150564599E-2</v>
      </c>
      <c r="C25" s="10">
        <v>0.86248377317002067</v>
      </c>
      <c r="D25">
        <f>表格2[[#This Row],[alpha_range]]*表格2[[#This Row],[alpha_range]]</f>
        <v>0.74387825898159565</v>
      </c>
      <c r="E25">
        <v>4.7508449703007799E-2</v>
      </c>
      <c r="F25">
        <f>LOG10(表格2[[#This Row],[theta_slope]])</f>
        <v>-1.3232291412586359</v>
      </c>
    </row>
    <row r="26" spans="1:6" x14ac:dyDescent="0.25">
      <c r="A26">
        <v>44</v>
      </c>
      <c r="B26">
        <v>1.297398136326783E-2</v>
      </c>
      <c r="C26" s="10">
        <v>0.88231012301861034</v>
      </c>
      <c r="D26">
        <f>表格2[[#This Row],[alpha_range]]*表格2[[#This Row],[alpha_range]]</f>
        <v>0.77847115318111526</v>
      </c>
      <c r="E26">
        <v>5.485775834233933E-2</v>
      </c>
      <c r="F26">
        <f>LOG10(表格2[[#This Row],[theta_slope]])</f>
        <v>-1.2607619429845516</v>
      </c>
    </row>
    <row r="27" spans="1:6" x14ac:dyDescent="0.25">
      <c r="A27">
        <v>45</v>
      </c>
      <c r="B27">
        <v>1.2688846653276921E-2</v>
      </c>
      <c r="C27" s="10">
        <v>0.90213649162515064</v>
      </c>
      <c r="D27">
        <f>表格2[[#This Row],[alpha_range]]*表格2[[#This Row],[alpha_range]]</f>
        <v>0.81385024952173546</v>
      </c>
      <c r="E27">
        <v>6.3960840680903172E-2</v>
      </c>
      <c r="F27">
        <f>LOG10(表格2[[#This Row],[theta_slope]])</f>
        <v>-1.1940858366600449</v>
      </c>
    </row>
    <row r="28" spans="1:6" x14ac:dyDescent="0.25">
      <c r="A28">
        <v>46</v>
      </c>
      <c r="B28">
        <v>1.241597531860634E-2</v>
      </c>
      <c r="C28" s="10">
        <v>0.92196287777932762</v>
      </c>
      <c r="D28">
        <f>表格2[[#This Row],[alpha_range]]*表格2[[#This Row],[alpha_range]]</f>
        <v>0.85001554800313939</v>
      </c>
      <c r="E28">
        <v>7.4566480973266125E-2</v>
      </c>
      <c r="F28">
        <f>LOG10(表格2[[#This Row],[theta_slope]])</f>
        <v>-1.1274563521481056</v>
      </c>
    </row>
    <row r="29" spans="1:6" x14ac:dyDescent="0.25">
      <c r="A29">
        <v>47</v>
      </c>
      <c r="B29">
        <v>1.215459286969524E-2</v>
      </c>
      <c r="C29" s="10">
        <v>0.94178928037299614</v>
      </c>
      <c r="D29">
        <f>表格2[[#This Row],[alpha_range]]*表格2[[#This Row],[alpha_range]]</f>
        <v>0.88696704862548592</v>
      </c>
      <c r="E29">
        <v>8.6924090540268825E-2</v>
      </c>
      <c r="F29">
        <f>LOG10(表格2[[#This Row],[theta_slope]])</f>
        <v>-1.0608598445090582</v>
      </c>
    </row>
    <row r="30" spans="1:6" x14ac:dyDescent="0.25">
      <c r="A30">
        <v>48</v>
      </c>
      <c r="B30">
        <v>1.190398868847168E-2</v>
      </c>
      <c r="C30" s="10">
        <v>0.96161569838953942</v>
      </c>
      <c r="D30">
        <f>表格2[[#This Row],[alpha_range]]*表格2[[#This Row],[alpha_range]]</f>
        <v>0.92470475138920161</v>
      </c>
      <c r="E30">
        <v>0.1012724908017618</v>
      </c>
      <c r="F30">
        <f>LOG10(表格2[[#This Row],[theta_slope]])</f>
        <v>-0.99450850839565741</v>
      </c>
    </row>
    <row r="31" spans="1:6" x14ac:dyDescent="0.25">
      <c r="A31">
        <v>49</v>
      </c>
      <c r="B31">
        <v>1.166350957716698E-2</v>
      </c>
      <c r="C31" s="10">
        <v>0.98144213089320942</v>
      </c>
      <c r="D31">
        <f>表格2[[#This Row],[alpha_range]]*表格2[[#This Row],[alpha_range]]</f>
        <v>0.96322865629220356</v>
      </c>
      <c r="E31">
        <v>0.1178058291112626</v>
      </c>
      <c r="F31">
        <f>LOG10(表格2[[#This Row],[theta_slope]])</f>
        <v>-0.92883321983564637</v>
      </c>
    </row>
    <row r="32" spans="1:6" x14ac:dyDescent="0.25">
      <c r="A32">
        <v>50</v>
      </c>
      <c r="B32">
        <v>1.1432554073477539E-2</v>
      </c>
      <c r="C32" s="10">
        <v>1.001268577025328</v>
      </c>
      <c r="D32">
        <f>表格2[[#This Row],[alpha_range]]*表格2[[#This Row],[alpha_range]]</f>
        <v>1.0025387633383251</v>
      </c>
      <c r="E32">
        <v>0.1366050526034216</v>
      </c>
      <c r="F32">
        <f>LOG10(表格2[[#This Row],[theta_slope]])</f>
        <v>-0.86453323713176156</v>
      </c>
    </row>
    <row r="33" spans="1:6" x14ac:dyDescent="0.25">
      <c r="A33">
        <v>51</v>
      </c>
      <c r="B33">
        <v>1.121056742811494E-2</v>
      </c>
      <c r="C33" s="10">
        <v>1.021095035990246</v>
      </c>
      <c r="D33">
        <f>表格2[[#This Row],[alpha_range]]*表格2[[#This Row],[alpha_range]]</f>
        <v>1.0426350725239217</v>
      </c>
      <c r="E33">
        <v>0.15870049822021809</v>
      </c>
      <c r="F33">
        <f>LOG10(表格2[[#This Row],[theta_slope]])</f>
        <v>-0.79942170983020633</v>
      </c>
    </row>
    <row r="34" spans="1:6" x14ac:dyDescent="0.25">
      <c r="A34">
        <v>52</v>
      </c>
      <c r="B34">
        <v>1.0997037156157361E-2</v>
      </c>
      <c r="C34" s="10">
        <v>1.04092150705548</v>
      </c>
      <c r="D34">
        <f>表格2[[#This Row],[alpha_range]]*表格2[[#This Row],[alpha_range]]</f>
        <v>1.0835175838506517</v>
      </c>
      <c r="E34">
        <v>0.1824932257044598</v>
      </c>
      <c r="F34">
        <f>LOG10(表格2[[#This Row],[theta_slope]])</f>
        <v>-0.73875325226929633</v>
      </c>
    </row>
    <row r="35" spans="1:6" x14ac:dyDescent="0.25">
      <c r="A35">
        <v>53</v>
      </c>
      <c r="B35">
        <v>1.079148908739264E-2</v>
      </c>
      <c r="C35" s="10">
        <v>1.0607479895421721</v>
      </c>
      <c r="D35">
        <f>表格2[[#This Row],[alpha_range]]*表格2[[#This Row],[alpha_range]]</f>
        <v>1.12518629731776</v>
      </c>
      <c r="E35">
        <v>0.20610726578539251</v>
      </c>
      <c r="F35">
        <f>LOG10(表格2[[#This Row],[theta_slope]])</f>
        <v>-0.68590669800786808</v>
      </c>
    </row>
    <row r="36" spans="1:6" x14ac:dyDescent="0.25">
      <c r="A36">
        <v>54</v>
      </c>
      <c r="B36">
        <v>1.059348385139474E-2</v>
      </c>
      <c r="C36" s="10">
        <v>1.0805744828219299</v>
      </c>
      <c r="D36">
        <f>表格2[[#This Row],[alpha_range]]*表格2[[#This Row],[alpha_range]]</f>
        <v>1.1676412129258813</v>
      </c>
      <c r="E36">
        <v>0.22596969372185399</v>
      </c>
      <c r="F36">
        <f>LOG10(表格2[[#This Row],[theta_slope]])</f>
        <v>-0.64594980302931304</v>
      </c>
    </row>
    <row r="37" spans="1:6" x14ac:dyDescent="0.25">
      <c r="A37">
        <v>55</v>
      </c>
      <c r="B37">
        <v>1.040261374258666E-2</v>
      </c>
      <c r="C37" s="10">
        <v>1.1004009863123061</v>
      </c>
      <c r="D37">
        <f>表格2[[#This Row],[alpha_range]]*表格2[[#This Row],[alpha_range]]</f>
        <v>1.2108823306770962</v>
      </c>
      <c r="E37">
        <v>0.23631814313960189</v>
      </c>
      <c r="F37">
        <f>LOG10(表格2[[#This Row],[theta_slope]])</f>
        <v>-0.62650293447031458</v>
      </c>
    </row>
    <row r="38" spans="1:6" x14ac:dyDescent="0.25">
      <c r="A38">
        <v>56</v>
      </c>
      <c r="B38">
        <v>1.021849991822665E-2</v>
      </c>
      <c r="C38" s="10">
        <v>1.1202274994693291</v>
      </c>
      <c r="D38">
        <f>表格2[[#This Row],[alpha_range]]*表格2[[#This Row],[alpha_range]]</f>
        <v>1.2549096505673056</v>
      </c>
      <c r="E38">
        <v>0.2309422072357305</v>
      </c>
      <c r="F38">
        <f>LOG10(表格2[[#This Row],[theta_slope]])</f>
        <v>-0.63649668772191648</v>
      </c>
    </row>
    <row r="39" spans="1:6" x14ac:dyDescent="0.25">
      <c r="A39">
        <v>57</v>
      </c>
      <c r="B39">
        <v>1.004078988868422E-2</v>
      </c>
      <c r="C39" s="10">
        <v>1.1400540217887249</v>
      </c>
      <c r="D39">
        <f>表格2[[#This Row],[alpha_range]]*表格2[[#This Row],[alpha_range]]</f>
        <v>1.2997231725966465</v>
      </c>
      <c r="E39">
        <v>0.2081835197248314</v>
      </c>
      <c r="F39">
        <f>LOG10(表格2[[#This Row],[theta_slope]])</f>
        <v>-0.68155365319172745</v>
      </c>
    </row>
    <row r="40" spans="1:6" x14ac:dyDescent="0.25">
      <c r="A40">
        <v>58</v>
      </c>
      <c r="B40">
        <v>9.8691552651518702E-3</v>
      </c>
      <c r="C40" s="10">
        <v>1.159880552802917</v>
      </c>
      <c r="D40">
        <f>表格2[[#This Row],[alpha_range]]*表格2[[#This Row],[alpha_range]]</f>
        <v>1.3453228967704003</v>
      </c>
      <c r="E40">
        <v>0.17338070828311861</v>
      </c>
      <c r="F40">
        <f>LOG10(表格2[[#This Row],[theta_slope]])</f>
        <v>-0.76099922723055902</v>
      </c>
    </row>
    <row r="41" spans="1:6" x14ac:dyDescent="0.25">
      <c r="A41">
        <v>59</v>
      </c>
      <c r="B41">
        <v>9.7032897345207328E-3</v>
      </c>
      <c r="C41" s="10">
        <v>1.17970709207159</v>
      </c>
      <c r="D41">
        <f>表格2[[#This Row],[alpha_range]]*表格2[[#This Row],[alpha_range]]</f>
        <v>1.3917088230840069</v>
      </c>
      <c r="E41">
        <v>0.13455872573203459</v>
      </c>
      <c r="F41">
        <f>LOG10(表格2[[#This Row],[theta_slope]])</f>
        <v>-0.87108813428521037</v>
      </c>
    </row>
    <row r="42" spans="1:6" x14ac:dyDescent="0.25">
      <c r="A42">
        <v>60</v>
      </c>
      <c r="B42">
        <v>9.5429072349718369E-3</v>
      </c>
      <c r="C42" s="10">
        <v>1.199533639185943</v>
      </c>
      <c r="D42">
        <f>表格2[[#This Row],[alpha_range]]*表格2[[#This Row],[alpha_range]]</f>
        <v>1.4388809515386722</v>
      </c>
      <c r="E42">
        <v>9.7885959837201983E-2</v>
      </c>
      <c r="F42">
        <f>LOG10(表格2[[#This Row],[theta_slope]])</f>
        <v>-1.0092795962714893</v>
      </c>
    </row>
    <row r="43" spans="1:6" x14ac:dyDescent="0.25">
      <c r="A43">
        <v>61</v>
      </c>
      <c r="B43">
        <v>9.3877403096346533E-3</v>
      </c>
      <c r="C43" s="10">
        <v>1.2193601937627601</v>
      </c>
      <c r="D43">
        <f>表格2[[#This Row],[alpha_range]]*表格2[[#This Row],[alpha_range]]</f>
        <v>1.4868392821331557</v>
      </c>
      <c r="E43">
        <v>6.6523586858860284E-2</v>
      </c>
      <c r="F43">
        <f>LOG10(表格2[[#This Row],[theta_slope]])</f>
        <v>-1.1770243422695104</v>
      </c>
    </row>
    <row r="44" spans="1:6" x14ac:dyDescent="0.25">
      <c r="A44">
        <v>62</v>
      </c>
      <c r="B44">
        <v>9.2375386182410816E-3</v>
      </c>
      <c r="C44" s="10">
        <v>1.2391867554443901</v>
      </c>
      <c r="D44">
        <f>表格2[[#This Row],[alpha_range]]*表格2[[#This Row],[alpha_range]]</f>
        <v>1.5355838148687946</v>
      </c>
      <c r="E44">
        <v>4.1264492700128323E-2</v>
      </c>
      <c r="F44">
        <f>LOG10(表格2[[#This Row],[theta_slope]])</f>
        <v>-1.384423489677117</v>
      </c>
    </row>
    <row r="45" spans="1:6" x14ac:dyDescent="0.25">
      <c r="A45">
        <v>63</v>
      </c>
      <c r="B45">
        <v>9.0920675894344775E-3</v>
      </c>
      <c r="C45" s="10">
        <v>1.2590133238948289</v>
      </c>
      <c r="D45">
        <f>表格2[[#This Row],[alpha_range]]*表格2[[#This Row],[alpha_range]]</f>
        <v>1.5851145497447052</v>
      </c>
      <c r="E45">
        <v>2.153947258624677E-2</v>
      </c>
      <c r="F45">
        <f>LOG10(表格2[[#This Row],[theta_slope]])</f>
        <v>-1.6667649350067917</v>
      </c>
    </row>
    <row r="46" spans="1:6" ht="16.5" x14ac:dyDescent="0.25">
      <c r="A46" s="3">
        <v>64</v>
      </c>
      <c r="B46" s="3">
        <v>8.9511071984136742E-3</v>
      </c>
      <c r="C46" s="11">
        <v>1.2788398987994309</v>
      </c>
      <c r="D46" s="3">
        <f>表格2[[#This Row],[alpha_range]]*表格2[[#This Row],[alpha_range]]</f>
        <v>1.6354314867613389</v>
      </c>
      <c r="E46" s="3">
        <v>6.3357001342631289E-3</v>
      </c>
      <c r="F46" s="3">
        <f>LOG10(表格2[[#This Row],[theta_slope]])</f>
        <v>-2.1982053858877313</v>
      </c>
    </row>
    <row r="47" spans="1:6" x14ac:dyDescent="0.25">
      <c r="A47">
        <v>65</v>
      </c>
      <c r="B47">
        <v>8.814450856556395E-3</v>
      </c>
      <c r="C47" s="10">
        <v>1.298666479862979</v>
      </c>
      <c r="D47">
        <f>表格2[[#This Row],[alpha_range]]*表格2[[#This Row],[alpha_range]]</f>
        <v>1.6865346259197012</v>
      </c>
      <c r="E47">
        <v>6.5650099290150803E-3</v>
      </c>
      <c r="F47">
        <f>LOG10(表格2[[#This Row],[theta_slope]])</f>
        <v>-2.182764612740808</v>
      </c>
    </row>
    <row r="48" spans="1:6" x14ac:dyDescent="0.25">
      <c r="A48">
        <v>66</v>
      </c>
      <c r="B48">
        <v>8.681904401227335E-3</v>
      </c>
      <c r="C48" s="10">
        <v>1.318493066807114</v>
      </c>
      <c r="D48">
        <f>表格2[[#This Row],[alpha_range]]*表格2[[#This Row],[alpha_range]]</f>
        <v>1.7384239672184287</v>
      </c>
      <c r="E48">
        <v>1.5857803014639009E-2</v>
      </c>
      <c r="F48">
        <f>LOG10(表格2[[#This Row],[theta_slope]])</f>
        <v>-1.7997569812498522</v>
      </c>
    </row>
    <row r="49" spans="1:6" x14ac:dyDescent="0.25">
      <c r="A49">
        <v>67</v>
      </c>
      <c r="B49">
        <v>8.5532851753516177E-3</v>
      </c>
      <c r="C49" s="10">
        <v>1.3383196593717679</v>
      </c>
      <c r="D49">
        <f>表格2[[#This Row],[alpha_range]]*表格2[[#This Row],[alpha_range]]</f>
        <v>1.7910995106609648</v>
      </c>
      <c r="E49">
        <v>2.3672108578292179E-2</v>
      </c>
      <c r="F49">
        <f>LOG10(表格2[[#This Row],[theta_slope]])</f>
        <v>-1.6257630558380873</v>
      </c>
    </row>
    <row r="50" spans="1:6" x14ac:dyDescent="0.25">
      <c r="A50">
        <v>68</v>
      </c>
      <c r="B50">
        <v>8.4284211876513859E-3</v>
      </c>
      <c r="C50" s="10">
        <v>1.3581462573096661</v>
      </c>
      <c r="D50">
        <f>表格2[[#This Row],[alpha_range]]*表格2[[#This Row],[alpha_range]]</f>
        <v>1.8445612562442537</v>
      </c>
      <c r="E50">
        <v>3.083967966939008E-2</v>
      </c>
      <c r="F50">
        <f>LOG10(表格2[[#This Row],[theta_slope]])</f>
        <v>-1.5108901415983431</v>
      </c>
    </row>
    <row r="51" spans="1:6" x14ac:dyDescent="0.25">
      <c r="A51">
        <v>69</v>
      </c>
      <c r="B51">
        <v>8.3071503453361166E-3</v>
      </c>
      <c r="C51" s="10">
        <v>1.377972860387304</v>
      </c>
      <c r="D51">
        <f>表格2[[#This Row],[alpha_range]]*表格2[[#This Row],[alpha_range]]</f>
        <v>1.8988092039639686</v>
      </c>
      <c r="E51">
        <v>3.7379813639495517E-2</v>
      </c>
      <c r="F51">
        <f>LOG10(表格2[[#This Row],[theta_slope]])</f>
        <v>-1.4273628681669379</v>
      </c>
    </row>
    <row r="52" spans="1:6" x14ac:dyDescent="0.25">
      <c r="A52">
        <v>70</v>
      </c>
      <c r="B52">
        <v>8.1893197520876253E-3</v>
      </c>
      <c r="C52" s="10">
        <v>1.39779946838717</v>
      </c>
      <c r="D52">
        <f>表格2[[#This Row],[alpha_range]]*表格2[[#This Row],[alpha_range]]</f>
        <v>1.953843353823455</v>
      </c>
      <c r="E52">
        <v>4.3539670768376247E-2</v>
      </c>
      <c r="F52">
        <f>LOG10(表格2[[#This Row],[theta_slope]])</f>
        <v>-1.3611148592641036</v>
      </c>
    </row>
    <row r="53" spans="1:6" x14ac:dyDescent="0.25">
      <c r="A53">
        <v>71</v>
      </c>
      <c r="B53">
        <v>8.0747850649829575E-3</v>
      </c>
      <c r="C53" s="10">
        <v>1.4176260811050829</v>
      </c>
      <c r="D53">
        <f>表格2[[#This Row],[alpha_range]]*表格2[[#This Row],[alpha_range]]</f>
        <v>2.0096637058293552</v>
      </c>
      <c r="E53">
        <v>4.9467569801763693E-2</v>
      </c>
      <c r="F53">
        <f>LOG10(表格2[[#This Row],[theta_slope]])</f>
        <v>-1.3056794247400929</v>
      </c>
    </row>
    <row r="54" spans="1:6" x14ac:dyDescent="0.25">
      <c r="A54">
        <v>72</v>
      </c>
      <c r="B54">
        <v>7.9634099046617078E-3</v>
      </c>
      <c r="C54" s="10">
        <v>1.4374526983426921</v>
      </c>
      <c r="D54">
        <f>表格2[[#This Row],[alpha_range]]*表格2[[#This Row],[alpha_range]]</f>
        <v>2.0662702599726863</v>
      </c>
      <c r="E54">
        <v>5.5237571528682153E-2</v>
      </c>
      <c r="F54">
        <f>LOG10(表格2[[#This Row],[theta_slope]])</f>
        <v>-1.2577654230491688</v>
      </c>
    </row>
    <row r="55" spans="1:6" x14ac:dyDescent="0.25">
      <c r="A55">
        <v>73</v>
      </c>
      <c r="B55">
        <v>7.8550653135394544E-3</v>
      </c>
      <c r="C55" s="10">
        <v>1.457279319918356</v>
      </c>
      <c r="D55">
        <f>表格2[[#This Row],[alpha_range]]*表格2[[#This Row],[alpha_range]]</f>
        <v>2.1236630162617063</v>
      </c>
      <c r="E55">
        <v>6.0870690489233548E-2</v>
      </c>
      <c r="F55">
        <f>LOG10(表格2[[#This Row],[theta_slope]])</f>
        <v>-1.215591771781358</v>
      </c>
    </row>
    <row r="56" spans="1:6" x14ac:dyDescent="0.25">
      <c r="A56">
        <v>74</v>
      </c>
      <c r="B56">
        <v>7.7496292577872196E-3</v>
      </c>
      <c r="C56" s="10">
        <v>1.4771059456535589</v>
      </c>
      <c r="D56">
        <f>表格2[[#This Row],[alpha_range]]*表格2[[#This Row],[alpha_range]]</f>
        <v>2.1818419746850943</v>
      </c>
      <c r="E56">
        <v>6.6356206461578637E-2</v>
      </c>
      <c r="F56">
        <f>LOG10(表格2[[#This Row],[theta_slope]])</f>
        <v>-1.1781184502531015</v>
      </c>
    </row>
    <row r="57" spans="1:6" x14ac:dyDescent="0.25">
      <c r="A57">
        <v>75</v>
      </c>
      <c r="B57">
        <v>7.6469861687362278E-3</v>
      </c>
      <c r="C57" s="10">
        <v>1.4969325753878999</v>
      </c>
      <c r="D57">
        <f>表格2[[#This Row],[alpha_range]]*表格2[[#This Row],[alpha_range]]</f>
        <v>2.2408071352574508</v>
      </c>
      <c r="E57">
        <v>7.1675727041282861E-2</v>
      </c>
      <c r="F57">
        <f>LOG10(表格2[[#This Row],[theta_slope]])</f>
        <v>-1.1446278931018705</v>
      </c>
    </row>
    <row r="58" spans="1:6" x14ac:dyDescent="0.25">
      <c r="A58">
        <v>76</v>
      </c>
      <c r="B58">
        <v>7.5470265204238716E-3</v>
      </c>
      <c r="C58" s="10">
        <v>1.516759208960389</v>
      </c>
      <c r="D58">
        <f>表格2[[#This Row],[alpha_range]]*表格2[[#This Row],[alpha_range]]</f>
        <v>2.3005584979661449</v>
      </c>
      <c r="E58">
        <v>7.6825737276284611E-2</v>
      </c>
      <c r="F58">
        <f>LOG10(表格2[[#This Row],[theta_slope]])</f>
        <v>-1.1144932632422886</v>
      </c>
    </row>
    <row r="59" spans="1:6" x14ac:dyDescent="0.25">
      <c r="A59">
        <v>77</v>
      </c>
      <c r="B59">
        <v>7.4496464396748207E-3</v>
      </c>
      <c r="C59" s="10">
        <v>1.5365858462243751</v>
      </c>
      <c r="D59">
        <f>表格2[[#This Row],[alpha_range]]*表格2[[#This Row],[alpha_range]]</f>
        <v>2.361096062817079</v>
      </c>
      <c r="E59">
        <v>8.1779779453360069E-2</v>
      </c>
      <c r="F59">
        <f>LOG10(表格2[[#This Row],[theta_slope]])</f>
        <v>-1.0873540650010258</v>
      </c>
    </row>
    <row r="60" spans="1:6" x14ac:dyDescent="0.25">
      <c r="A60">
        <v>78</v>
      </c>
      <c r="B60">
        <v>7.3547473461116359E-3</v>
      </c>
      <c r="C60" s="10">
        <v>1.5564124870367171</v>
      </c>
      <c r="D60">
        <f>表格2[[#This Row],[alpha_range]]*表格2[[#This Row],[alpha_range]]</f>
        <v>2.4224198298038191</v>
      </c>
      <c r="E60">
        <v>8.5779663553842367E-2</v>
      </c>
      <c r="F60">
        <f>LOG10(表格2[[#This Row],[theta_slope]])</f>
        <v>-1.0666156614893012</v>
      </c>
    </row>
    <row r="61" spans="1:6" x14ac:dyDescent="0.25">
      <c r="A61">
        <v>79</v>
      </c>
      <c r="B61">
        <v>7.2622356192493581E-3</v>
      </c>
      <c r="C61" s="10">
        <v>1.576239131264447</v>
      </c>
      <c r="D61">
        <f>表格2[[#This Row],[alpha_range]]*表格2[[#This Row],[alpha_range]]</f>
        <v>2.4845297989292985</v>
      </c>
      <c r="E61">
        <v>7.6571526370480494E-2</v>
      </c>
      <c r="F61">
        <f>LOG10(表格2[[#This Row],[theta_slope]])</f>
        <v>-1.1159326956294529</v>
      </c>
    </row>
    <row r="62" spans="1:6" x14ac:dyDescent="0.25">
      <c r="A62">
        <v>80</v>
      </c>
      <c r="B62">
        <v>7.172022290439682E-3</v>
      </c>
      <c r="C62" s="10">
        <v>1.5960657787836761</v>
      </c>
      <c r="D62">
        <f>表格2[[#This Row],[alpha_range]]*表格2[[#This Row],[alpha_range]]</f>
        <v>2.5474259702043422</v>
      </c>
      <c r="E62">
        <v>6.5343017196327152E-2</v>
      </c>
      <c r="F62">
        <f>LOG10(表格2[[#This Row],[theta_slope]])</f>
        <v>-1.1848008159661421</v>
      </c>
    </row>
    <row r="63" spans="1:6" x14ac:dyDescent="0.25">
      <c r="A63">
        <v>81</v>
      </c>
      <c r="B63">
        <v>7.0840227575331774E-3</v>
      </c>
      <c r="C63" s="10">
        <v>1.6158924294693839</v>
      </c>
      <c r="D63">
        <f>表格2[[#This Row],[alpha_range]]*表格2[[#This Row],[alpha_range]]</f>
        <v>2.6111083436164679</v>
      </c>
      <c r="E63">
        <v>4.5061760492864027E-2</v>
      </c>
      <c r="F63">
        <f>LOG10(表格2[[#This Row],[theta_slope]])</f>
        <v>-1.3461918450711148</v>
      </c>
    </row>
    <row r="64" spans="1:6" x14ac:dyDescent="0.25">
      <c r="A64">
        <v>82</v>
      </c>
      <c r="B64">
        <v>6.9981565201968163E-3</v>
      </c>
      <c r="C64" s="10">
        <v>1.6357190832069419</v>
      </c>
      <c r="D64">
        <f>表格2[[#This Row],[alpha_range]]*表格2[[#This Row],[alpha_range]]</f>
        <v>2.6755769191673586</v>
      </c>
      <c r="E64">
        <v>5.1345559684832773E-2</v>
      </c>
      <c r="F64">
        <f>LOG10(表格2[[#This Row],[theta_slope]])</f>
        <v>-1.2894971078165749</v>
      </c>
    </row>
    <row r="65" spans="1:6" x14ac:dyDescent="0.25">
      <c r="A65">
        <v>83</v>
      </c>
      <c r="B65">
        <v>6.9143469343107304E-3</v>
      </c>
      <c r="C65" s="10">
        <v>1.655545739890018</v>
      </c>
      <c r="D65">
        <f>表格2[[#This Row],[alpha_range]]*表格2[[#This Row],[alpha_range]]</f>
        <v>2.7408316968679869</v>
      </c>
      <c r="E65">
        <v>5.4788216291439082E-2</v>
      </c>
      <c r="F65">
        <f>LOG10(表格2[[#This Row],[theta_slope]])</f>
        <v>-1.2613128384117072</v>
      </c>
    </row>
    <row r="66" spans="1:6" x14ac:dyDescent="0.25">
      <c r="A66">
        <v>84</v>
      </c>
      <c r="B66">
        <v>6.832520983839188E-3</v>
      </c>
      <c r="C66" s="10">
        <v>1.675372399409683</v>
      </c>
      <c r="D66">
        <f>表格2[[#This Row],[alpha_range]]*表格2[[#This Row],[alpha_range]]</f>
        <v>2.8068726767037582</v>
      </c>
      <c r="E66">
        <v>5.4482651481561832E-2</v>
      </c>
      <c r="F66">
        <f>LOG10(表格2[[#This Row],[theta_slope]])</f>
        <v>-1.2637417649757707</v>
      </c>
    </row>
    <row r="67" spans="1:6" x14ac:dyDescent="0.25">
      <c r="A67">
        <v>85</v>
      </c>
      <c r="B67">
        <v>6.7526090686103732E-3</v>
      </c>
      <c r="C67" s="10">
        <v>1.695199061667829</v>
      </c>
      <c r="D67">
        <f>表格2[[#This Row],[alpha_range]]*表格2[[#This Row],[alpha_range]]</f>
        <v>2.8736998586794877</v>
      </c>
      <c r="E67">
        <v>5.2045785272911621E-2</v>
      </c>
      <c r="F67">
        <f>LOG10(表格2[[#This Row],[theta_slope]])</f>
        <v>-1.2836144343922631</v>
      </c>
    </row>
    <row r="68" spans="1:6" x14ac:dyDescent="0.25">
      <c r="A68">
        <v>86</v>
      </c>
      <c r="B68">
        <v>6.6745448068994753E-3</v>
      </c>
      <c r="C68" s="10">
        <v>1.7150257265702249</v>
      </c>
      <c r="D68">
        <f>表格2[[#This Row],[alpha_range]]*表格2[[#This Row],[alpha_range]]</f>
        <v>2.9413132427977278</v>
      </c>
      <c r="E68">
        <v>4.8136347296881883E-2</v>
      </c>
      <c r="F68">
        <f>LOG10(表格2[[#This Row],[theta_slope]])</f>
        <v>-1.3175268681323371</v>
      </c>
    </row>
    <row r="69" spans="1:6" x14ac:dyDescent="0.25">
      <c r="A69">
        <v>87</v>
      </c>
      <c r="B69">
        <v>6.5982648515230408E-3</v>
      </c>
      <c r="C69" s="10">
        <v>1.734852394025814</v>
      </c>
      <c r="D69">
        <f>表格2[[#This Row],[alpha_range]]*表格2[[#This Row],[alpha_range]]</f>
        <v>3.0097128290570985</v>
      </c>
      <c r="E69">
        <v>4.3010680710309349E-2</v>
      </c>
      <c r="F69">
        <f>LOG10(表格2[[#This Row],[theta_slope]])</f>
        <v>-1.3664236840120154</v>
      </c>
    </row>
    <row r="70" spans="1:6" x14ac:dyDescent="0.25">
      <c r="A70">
        <v>88</v>
      </c>
      <c r="B70">
        <v>6.5237087183923834E-3</v>
      </c>
      <c r="C70" s="10">
        <v>1.7546790639483709</v>
      </c>
      <c r="D70">
        <f>表格2[[#This Row],[alpha_range]]*表格2[[#This Row],[alpha_range]]</f>
        <v>3.0788986174587309</v>
      </c>
      <c r="E70">
        <v>3.6699072028145291E-2</v>
      </c>
      <c r="F70">
        <f>LOG10(表格2[[#This Row],[theta_slope]])</f>
        <v>-1.4353449171689219</v>
      </c>
    </row>
    <row r="71" spans="1:6" x14ac:dyDescent="0.25">
      <c r="A71">
        <v>89</v>
      </c>
      <c r="B71">
        <v>6.450818626584926E-3</v>
      </c>
      <c r="C71" s="10">
        <v>1.7745057362515451</v>
      </c>
      <c r="D71">
        <f>表格2[[#This Row],[alpha_range]]*表格2[[#This Row],[alpha_range]]</f>
        <v>3.1488706079896378</v>
      </c>
      <c r="E71">
        <v>2.9050984565676681E-2</v>
      </c>
      <c r="F71">
        <f>LOG10(表格2[[#This Row],[theta_slope]])</f>
        <v>-1.5368391443684997</v>
      </c>
    </row>
    <row r="72" spans="1:6" x14ac:dyDescent="0.25">
      <c r="A72">
        <v>90</v>
      </c>
      <c r="B72">
        <v>6.37953934895395E-3</v>
      </c>
      <c r="C72" s="10">
        <v>1.794332410861694</v>
      </c>
      <c r="D72">
        <f>表格2[[#This Row],[alpha_range]]*表格2[[#This Row],[alpha_range]]</f>
        <v>3.219628800668739</v>
      </c>
      <c r="E72">
        <v>1.973231866087833E-2</v>
      </c>
      <c r="F72">
        <f>LOG10(表格2[[#This Row],[theta_slope]])</f>
        <v>-1.7048218796510282</v>
      </c>
    </row>
    <row r="73" spans="1:6" ht="16.5" x14ac:dyDescent="0.25">
      <c r="A73" s="3">
        <v>91</v>
      </c>
      <c r="B73" s="3">
        <v>6.3098180726341088E-3</v>
      </c>
      <c r="C73" s="11">
        <v>1.814159087702885</v>
      </c>
      <c r="D73" s="3">
        <f>表格2[[#This Row],[alpha_range]]*表格2[[#This Row],[alpha_range]]</f>
        <v>3.2911731954949639</v>
      </c>
      <c r="E73" s="3">
        <v>5.0531501001760881E-3</v>
      </c>
      <c r="F73" s="3">
        <f>LOG10(表格2[[#This Row],[theta_slope]])</f>
        <v>-2.2964378011660793</v>
      </c>
    </row>
    <row r="74" spans="1:6" x14ac:dyDescent="0.25">
      <c r="A74">
        <v>92</v>
      </c>
      <c r="B74">
        <v>6.2416042685196418E-3</v>
      </c>
      <c r="C74" s="10">
        <v>1.833985766703047</v>
      </c>
      <c r="D74">
        <f>表格2[[#This Row],[alpha_range]]*表格2[[#This Row],[alpha_range]]</f>
        <v>3.3635037924693632</v>
      </c>
      <c r="E74">
        <v>9.5406219416986435E-3</v>
      </c>
      <c r="F74">
        <f>LOG10(表格2[[#This Row],[theta_slope]])</f>
        <v>-2.0204233132368214</v>
      </c>
    </row>
    <row r="75" spans="1:6" x14ac:dyDescent="0.25">
      <c r="A75">
        <v>93</v>
      </c>
      <c r="B75">
        <v>6.1748495691701256E-3</v>
      </c>
      <c r="C75" s="10">
        <v>1.853812447784966</v>
      </c>
      <c r="D75">
        <f>表格2[[#This Row],[alpha_range]]*表格2[[#This Row],[alpha_range]]</f>
        <v>3.4366205915624874</v>
      </c>
      <c r="E75">
        <v>2.578636528769113E-2</v>
      </c>
      <c r="F75">
        <f>LOG10(表格2[[#This Row],[theta_slope]])</f>
        <v>-1.5886098694458124</v>
      </c>
    </row>
    <row r="76" spans="1:6" x14ac:dyDescent="0.25">
      <c r="A76">
        <v>94</v>
      </c>
      <c r="B76">
        <v>6.1095076543617689E-3</v>
      </c>
      <c r="C76" s="10">
        <v>1.8736391308893141</v>
      </c>
      <c r="D76">
        <f>表格2[[#This Row],[alpha_range]]*表格2[[#This Row],[alpha_range]]</f>
        <v>3.5105235927996645</v>
      </c>
      <c r="E76">
        <v>4.4653917038512167E-2</v>
      </c>
      <c r="F76">
        <f>LOG10(表格2[[#This Row],[theta_slope]])</f>
        <v>-1.35014043882254</v>
      </c>
    </row>
    <row r="77" spans="1:6" x14ac:dyDescent="0.25">
      <c r="A77">
        <v>95</v>
      </c>
      <c r="B77">
        <v>6.0455341439753854E-3</v>
      </c>
      <c r="C77" s="10">
        <v>1.8934658159533571</v>
      </c>
      <c r="D77">
        <f>表格2[[#This Row],[alpha_range]]*表格2[[#This Row],[alpha_range]]</f>
        <v>3.5852127961839124</v>
      </c>
      <c r="E77">
        <v>6.4753447156738683E-2</v>
      </c>
      <c r="F77">
        <f>LOG10(表格2[[#This Row],[theta_slope]])</f>
        <v>-1.188737106917745</v>
      </c>
    </row>
    <row r="78" spans="1:6" x14ac:dyDescent="0.25">
      <c r="A78">
        <v>96</v>
      </c>
      <c r="B78">
        <v>5.9828864974449496E-3</v>
      </c>
      <c r="C78" s="10">
        <v>1.9132925029199821</v>
      </c>
      <c r="D78">
        <f>表格2[[#This Row],[alpha_range]]*表格2[[#This Row],[alpha_range]]</f>
        <v>3.6606882017298097</v>
      </c>
      <c r="E78">
        <v>8.3787557179068328E-2</v>
      </c>
      <c r="F78">
        <f>LOG10(表格2[[#This Row],[theta_slope]])</f>
        <v>-1.0768204712229181</v>
      </c>
    </row>
    <row r="79" spans="1:6" x14ac:dyDescent="0.25">
      <c r="A79">
        <v>97</v>
      </c>
      <c r="B79">
        <v>5.9215239194854432E-3</v>
      </c>
      <c r="C79" s="10">
        <v>1.933119191717408</v>
      </c>
      <c r="D79">
        <f>表格2[[#This Row],[alpha_range]]*表格2[[#This Row],[alpha_range]]</f>
        <v>3.7369498093861648</v>
      </c>
      <c r="E79">
        <v>9.9081672045431474E-2</v>
      </c>
      <c r="F79">
        <f>LOG10(表格2[[#This Row],[theta_slope]])</f>
        <v>-1.0040066731199389</v>
      </c>
    </row>
    <row r="80" spans="1:6" x14ac:dyDescent="0.25">
      <c r="A80">
        <v>98</v>
      </c>
      <c r="B80">
        <v>5.8614072713699637E-3</v>
      </c>
      <c r="C80" s="10">
        <v>1.952945882301983</v>
      </c>
      <c r="D80">
        <f>表格2[[#This Row],[alpha_range]]*表格2[[#This Row],[alpha_range]]</f>
        <v>3.8139976192002707</v>
      </c>
      <c r="E80">
        <v>0.1085102758435216</v>
      </c>
      <c r="F80">
        <f>LOG10(表格2[[#This Row],[theta_slope]])</f>
        <v>-0.96452913249911565</v>
      </c>
    </row>
    <row r="81" spans="1:6" x14ac:dyDescent="0.25">
      <c r="A81">
        <v>99</v>
      </c>
      <c r="B81">
        <v>5.8024989878281757E-3</v>
      </c>
      <c r="C81" s="10">
        <v>1.9727725746114231</v>
      </c>
      <c r="D81">
        <f>表格2[[#This Row],[alpha_range]]*表格2[[#This Row],[alpha_range]]</f>
        <v>3.8918316311389827</v>
      </c>
      <c r="E81">
        <v>0.1114536094637969</v>
      </c>
      <c r="F81">
        <f>LOG10(表格2[[#This Row],[theta_slope]])</f>
        <v>-0.95290586217857343</v>
      </c>
    </row>
    <row r="82" spans="1:6" x14ac:dyDescent="0.25">
      <c r="A82">
        <v>100</v>
      </c>
      <c r="B82">
        <v>5.7447629986505369E-3</v>
      </c>
      <c r="C82" s="10">
        <v>1.992599268603743</v>
      </c>
      <c r="D82">
        <f>表格2[[#This Row],[alpha_range]]*表格2[[#This Row],[alpha_range]]</f>
        <v>3.9704518452401718</v>
      </c>
      <c r="E82">
        <v>0.1089514829992136</v>
      </c>
      <c r="F82">
        <f>LOG10(表格2[[#This Row],[theta_slope]])</f>
        <v>-0.96276685395382655</v>
      </c>
    </row>
    <row r="83" spans="1:6" x14ac:dyDescent="0.25">
      <c r="A83">
        <v>101</v>
      </c>
      <c r="B83">
        <v>5.6881646551398598E-3</v>
      </c>
      <c r="C83" s="10">
        <v>2.0124259642231701</v>
      </c>
      <c r="D83">
        <f>表格2[[#This Row],[alpha_range]]*表格2[[#This Row],[alpha_range]]</f>
        <v>4.0498582614795557</v>
      </c>
      <c r="E83">
        <v>0.1029543470625677</v>
      </c>
      <c r="F83">
        <f>LOG10(表格2[[#This Row],[theta_slope]])</f>
        <v>-0.98735531135359067</v>
      </c>
    </row>
    <row r="84" spans="1:6" x14ac:dyDescent="0.25">
      <c r="A84">
        <v>102</v>
      </c>
      <c r="B84">
        <v>5.6326706607241397E-3</v>
      </c>
      <c r="C84" s="10">
        <v>2.0322526614159262</v>
      </c>
      <c r="D84">
        <f>表格2[[#This Row],[alpha_range]]*表格2[[#This Row],[alpha_range]]</f>
        <v>4.1300508798321154</v>
      </c>
      <c r="E84">
        <v>9.5362461307208879E-2</v>
      </c>
      <c r="F84">
        <f>LOG10(表格2[[#This Row],[theta_slope]])</f>
        <v>-1.02062254830912</v>
      </c>
    </row>
    <row r="85" spans="1:6" x14ac:dyDescent="0.25">
      <c r="A85">
        <v>103</v>
      </c>
      <c r="B85">
        <v>5.5782490055812676E-3</v>
      </c>
      <c r="C85" s="10">
        <v>2.0520793601508531</v>
      </c>
      <c r="D85">
        <f>表格2[[#This Row],[alpha_range]]*表格2[[#This Row],[alpha_range]]</f>
        <v>4.2110297003571349</v>
      </c>
      <c r="E85">
        <v>8.7511664297478517E-2</v>
      </c>
      <c r="F85">
        <f>LOG10(表格2[[#This Row],[theta_slope]])</f>
        <v>-1.0579340566643978</v>
      </c>
    </row>
    <row r="86" spans="1:6" x14ac:dyDescent="0.25">
      <c r="A86">
        <v>104</v>
      </c>
      <c r="B86">
        <v>5.524868905196571E-3</v>
      </c>
      <c r="C86" s="10">
        <v>2.0719060603740012</v>
      </c>
      <c r="D86">
        <f>表格2[[#This Row],[alpha_range]]*表格2[[#This Row],[alpha_range]]</f>
        <v>4.2927947230145138</v>
      </c>
      <c r="E86">
        <v>8.0141505407157351E-2</v>
      </c>
      <c r="F86">
        <f>LOG10(表格2[[#This Row],[theta_slope]])</f>
        <v>-1.0961425038813462</v>
      </c>
    </row>
    <row r="87" spans="1:6" x14ac:dyDescent="0.25">
      <c r="A87">
        <v>105</v>
      </c>
      <c r="B87">
        <v>5.4725007422063406E-3</v>
      </c>
      <c r="C87" s="10">
        <v>2.091732762040186</v>
      </c>
      <c r="D87">
        <f>表格2[[#This Row],[alpha_range]]*表格2[[#This Row],[alpha_range]]</f>
        <v>4.3753459477922654</v>
      </c>
      <c r="E87">
        <v>7.3569359195260045E-2</v>
      </c>
      <c r="F87">
        <f>LOG10(表格2[[#This Row],[theta_slope]])</f>
        <v>-1.1333030267381798</v>
      </c>
    </row>
    <row r="88" spans="1:6" x14ac:dyDescent="0.25">
      <c r="A88">
        <v>106</v>
      </c>
      <c r="B88">
        <v>5.4211160115793973E-3</v>
      </c>
      <c r="C88" s="10">
        <v>2.1115594651223959</v>
      </c>
      <c r="D88">
        <f>表格2[[#This Row],[alpha_range]]*表格2[[#This Row],[alpha_range]]</f>
        <v>4.458683374747979</v>
      </c>
      <c r="E88">
        <v>6.7870721727823366E-2</v>
      </c>
      <c r="F88">
        <f>LOG10(表格2[[#This Row],[theta_slope]])</f>
        <v>-1.1683175325568085</v>
      </c>
    </row>
    <row r="89" spans="1:6" x14ac:dyDescent="0.25">
      <c r="A89">
        <v>107</v>
      </c>
      <c r="B89">
        <v>5.3706872690033073E-3</v>
      </c>
      <c r="C89" s="10">
        <v>2.131386169564141</v>
      </c>
      <c r="D89">
        <f>表格2[[#This Row],[alpha_range]]*表格2[[#This Row],[alpha_range]]</f>
        <v>4.5428070038093011</v>
      </c>
      <c r="E89">
        <v>6.3002698690344749E-2</v>
      </c>
      <c r="F89">
        <f>LOG10(表格2[[#This Row],[theta_slope]])</f>
        <v>-1.2006408473524002</v>
      </c>
    </row>
    <row r="90" spans="1:6" x14ac:dyDescent="0.25">
      <c r="A90">
        <v>108</v>
      </c>
      <c r="B90">
        <v>5.3211880818516289E-3</v>
      </c>
      <c r="C90" s="10">
        <v>2.151212875339541</v>
      </c>
      <c r="D90">
        <f>表格2[[#This Row],[alpha_range]]*表格2[[#This Row],[alpha_range]]</f>
        <v>4.6277168350266153</v>
      </c>
      <c r="E90">
        <v>5.8874149404580342E-2</v>
      </c>
      <c r="F90">
        <f>LOG10(表格2[[#This Row],[theta_slope]])</f>
        <v>-1.23007535436947</v>
      </c>
    </row>
    <row r="91" spans="1:6" x14ac:dyDescent="0.25">
      <c r="A91">
        <v>109</v>
      </c>
      <c r="B91">
        <v>5.2725929830973366E-3</v>
      </c>
      <c r="C91" s="10">
        <v>2.1710395824099571</v>
      </c>
      <c r="D91">
        <f>表格2[[#This Row],[alpha_range]]*表格2[[#This Row],[alpha_range]]</f>
        <v>4.713412868390801</v>
      </c>
      <c r="E91">
        <v>5.538099245057234E-2</v>
      </c>
      <c r="F91">
        <f>LOG10(表格2[[#This Row],[theta_slope]])</f>
        <v>-1.2566392657817569</v>
      </c>
    </row>
    <row r="92" spans="1:6" x14ac:dyDescent="0.25">
      <c r="A92">
        <v>110</v>
      </c>
      <c r="B92">
        <v>5.2248774275953803E-3</v>
      </c>
      <c r="C92" s="10">
        <v>2.190866290734081</v>
      </c>
      <c r="D92">
        <f>表格2[[#This Row],[alpha_range]]*表格2[[#This Row],[alpha_range]]</f>
        <v>4.7998951038749107</v>
      </c>
      <c r="E92">
        <v>5.2422123990082559E-2</v>
      </c>
      <c r="F92">
        <f>LOG10(表格2[[#This Row],[theta_slope]])</f>
        <v>-1.2804853866995098</v>
      </c>
    </row>
    <row r="93" spans="1:6" x14ac:dyDescent="0.25">
      <c r="A93">
        <v>111</v>
      </c>
      <c r="B93">
        <v>5.1780177507037232E-3</v>
      </c>
      <c r="C93" s="10">
        <v>2.2106930002845688</v>
      </c>
      <c r="D93">
        <f>表格2[[#This Row],[alpha_range]]*表格2[[#This Row],[alpha_range]]</f>
        <v>4.8871635415071886</v>
      </c>
      <c r="E93">
        <v>4.9905631686283453E-2</v>
      </c>
      <c r="F93">
        <f>LOG10(表格2[[#This Row],[theta_slope]])</f>
        <v>-1.3018504429082594</v>
      </c>
    </row>
    <row r="94" spans="1:6" x14ac:dyDescent="0.25">
      <c r="A94">
        <v>112</v>
      </c>
      <c r="B94">
        <v>5.1319911291808429E-3</v>
      </c>
      <c r="C94" s="10">
        <v>2.2305197110353361</v>
      </c>
      <c r="D94">
        <f>表格2[[#This Row],[alpha_range]]*表格2[[#This Row],[alpha_range]]</f>
        <v>4.9752181813171594</v>
      </c>
      <c r="E94">
        <v>4.7750633927364013E-2</v>
      </c>
      <c r="F94">
        <f>LOG10(表格2[[#This Row],[theta_slope]])</f>
        <v>-1.3210208584398448</v>
      </c>
    </row>
    <row r="95" spans="1:6" x14ac:dyDescent="0.25">
      <c r="A95">
        <v>113</v>
      </c>
      <c r="B95">
        <v>5.0867755441786362E-3</v>
      </c>
      <c r="C95" s="10">
        <v>2.2503464229356052</v>
      </c>
      <c r="D95">
        <f>表格2[[#This Row],[alpha_range]]*表格2[[#This Row],[alpha_range]]</f>
        <v>5.0640590232190732</v>
      </c>
      <c r="E95">
        <v>4.5987642663768633E-2</v>
      </c>
      <c r="F95">
        <f>LOG10(表格2[[#This Row],[theta_slope]])</f>
        <v>-1.337358851881852</v>
      </c>
    </row>
    <row r="96" spans="1:6" x14ac:dyDescent="0.25">
      <c r="A96">
        <v>114</v>
      </c>
      <c r="B96">
        <v>5.0423497459792244E-3</v>
      </c>
      <c r="C96" s="10">
        <v>2.2701731359705319</v>
      </c>
      <c r="D96">
        <f>表格2[[#This Row],[alpha_range]]*表格2[[#This Row],[alpha_range]]</f>
        <v>5.1536860672822797</v>
      </c>
      <c r="E96">
        <v>4.4522393967635868E-2</v>
      </c>
      <c r="F96">
        <f>LOG10(表格2[[#This Row],[theta_slope]])</f>
        <v>-1.3514214917097092</v>
      </c>
    </row>
    <row r="97" spans="1:6" x14ac:dyDescent="0.25">
      <c r="A97">
        <v>115</v>
      </c>
      <c r="B97">
        <v>4.9986932208091811E-3</v>
      </c>
      <c r="C97" s="10">
        <v>2.2899998501125438</v>
      </c>
      <c r="D97">
        <f>表格2[[#This Row],[alpha_range]]*表格2[[#This Row],[alpha_range]]</f>
        <v>5.2440993135154734</v>
      </c>
      <c r="E97">
        <v>4.3233335767581232E-2</v>
      </c>
      <c r="F97">
        <f>LOG10(表格2[[#This Row],[theta_slope]])</f>
        <v>-1.3641812541826819</v>
      </c>
    </row>
    <row r="98" spans="1:6" x14ac:dyDescent="0.25">
      <c r="A98">
        <v>116</v>
      </c>
      <c r="B98">
        <v>4.9557861592607064E-3</v>
      </c>
      <c r="C98" s="10">
        <v>2.3098265653177061</v>
      </c>
      <c r="D98">
        <f>表格2[[#This Row],[alpha_range]]*表格2[[#This Row],[alpha_range]]</f>
        <v>5.3352987618473913</v>
      </c>
      <c r="E98">
        <v>4.2077745247120123E-2</v>
      </c>
      <c r="F98">
        <f>LOG10(表格2[[#This Row],[theta_slope]])</f>
        <v>-1.3759475400750742</v>
      </c>
    </row>
    <row r="99" spans="1:6" x14ac:dyDescent="0.25">
      <c r="A99">
        <v>117</v>
      </c>
      <c r="B99">
        <v>4.9136094262253903E-3</v>
      </c>
      <c r="C99" s="10">
        <v>2.3296532815693061</v>
      </c>
      <c r="D99">
        <f>表格2[[#This Row],[alpha_range]]*表格2[[#This Row],[alpha_range]]</f>
        <v>5.4272844123266362</v>
      </c>
      <c r="E99">
        <v>4.1020844658426238E-2</v>
      </c>
      <c r="F99">
        <f>LOG10(表格2[[#This Row],[theta_slope]])</f>
        <v>-1.3869954013368166</v>
      </c>
    </row>
    <row r="100" spans="1:6" x14ac:dyDescent="0.25">
      <c r="A100">
        <v>118</v>
      </c>
      <c r="B100">
        <v>4.8721445325182041E-3</v>
      </c>
      <c r="C100" s="10">
        <v>2.3494799988427451</v>
      </c>
      <c r="D100">
        <f>表格2[[#This Row],[alpha_range]]*表格2[[#This Row],[alpha_range]]</f>
        <v>5.520056264962105</v>
      </c>
      <c r="E100">
        <v>4.003428791172705E-2</v>
      </c>
      <c r="F100">
        <f>LOG10(表格2[[#This Row],[theta_slope]])</f>
        <v>-1.3975678918666379</v>
      </c>
    </row>
    <row r="101" spans="1:6" x14ac:dyDescent="0.25">
      <c r="A101">
        <v>119</v>
      </c>
      <c r="B101">
        <v>4.831373607859301E-3</v>
      </c>
      <c r="C101" s="10">
        <v>2.3693067171013982</v>
      </c>
      <c r="D101">
        <f>表格2[[#This Row],[alpha_range]]*表格2[[#This Row],[alpha_range]]</f>
        <v>5.6136143197018047</v>
      </c>
      <c r="E101">
        <v>3.9094358409246237E-2</v>
      </c>
      <c r="F101">
        <f>LOG10(表格2[[#This Row],[theta_slope]])</f>
        <v>-1.4078859098294321</v>
      </c>
    </row>
    <row r="102" spans="1:6" x14ac:dyDescent="0.25">
      <c r="A102">
        <v>120</v>
      </c>
      <c r="B102">
        <v>4.7912793751206852E-3</v>
      </c>
      <c r="C102" s="10">
        <v>2.3891334363323962</v>
      </c>
      <c r="D102">
        <f>表格2[[#This Row],[alpha_range]]*表格2[[#This Row],[alpha_range]]</f>
        <v>5.7079585766014436</v>
      </c>
      <c r="E102">
        <v>3.8180038360844597E-2</v>
      </c>
      <c r="F102">
        <f>LOG10(表格2[[#This Row],[theta_slope]])</f>
        <v>-1.4181636395909962</v>
      </c>
    </row>
    <row r="103" spans="1:6" x14ac:dyDescent="0.25">
      <c r="A103">
        <v>121</v>
      </c>
      <c r="B103">
        <v>4.7518451259814746E-3</v>
      </c>
      <c r="C103" s="10">
        <v>2.40896015651485</v>
      </c>
      <c r="D103">
        <f>表格2[[#This Row],[alpha_range]]*表格2[[#This Row],[alpha_range]]</f>
        <v>5.8030890356760505</v>
      </c>
      <c r="E103">
        <v>3.7271070167871803E-2</v>
      </c>
      <c r="F103">
        <f>LOG10(表格2[[#This Row],[theta_slope]])</f>
        <v>-1.4286281371273273</v>
      </c>
    </row>
    <row r="104" spans="1:6" x14ac:dyDescent="0.25">
      <c r="A104">
        <v>122</v>
      </c>
      <c r="B104">
        <v>4.7130546977314043E-3</v>
      </c>
      <c r="C104" s="10">
        <v>2.4287868776092041</v>
      </c>
      <c r="D104">
        <f>表格2[[#This Row],[alpha_range]]*表格2[[#This Row],[alpha_range]]</f>
        <v>5.8990056968466673</v>
      </c>
      <c r="E104">
        <v>3.6346066809574758E-2</v>
      </c>
      <c r="F104">
        <f>LOG10(表格2[[#This Row],[theta_slope]])</f>
        <v>-1.4395425794492094</v>
      </c>
    </row>
    <row r="105" spans="1:6" x14ac:dyDescent="0.25">
      <c r="A105">
        <v>123</v>
      </c>
      <c r="B105">
        <v>4.6748924510747244E-3</v>
      </c>
      <c r="C105" s="10">
        <v>2.448613599612365</v>
      </c>
      <c r="D105">
        <f>表格2[[#This Row],[alpha_range]]*表格2[[#This Row],[alpha_range]]</f>
        <v>5.9957085602066238</v>
      </c>
      <c r="E105">
        <v>3.5380694724328823E-2</v>
      </c>
      <c r="F105">
        <f>LOG10(表格2[[#This Row],[theta_slope]])</f>
        <v>-1.45123364367106</v>
      </c>
    </row>
    <row r="106" spans="1:6" x14ac:dyDescent="0.25">
      <c r="A106">
        <v>124</v>
      </c>
      <c r="B106">
        <v>4.637343249244621E-3</v>
      </c>
      <c r="C106" s="10">
        <v>2.4684403224873699</v>
      </c>
      <c r="D106">
        <f>表格2[[#This Row],[alpha_range]]*表格2[[#This Row],[alpha_range]]</f>
        <v>6.093197625681551</v>
      </c>
      <c r="E106">
        <v>3.434598162429895E-2</v>
      </c>
      <c r="F106">
        <f>LOG10(表格2[[#This Row],[theta_slope]])</f>
        <v>-1.4641240667697384</v>
      </c>
    </row>
    <row r="107" spans="1:6" x14ac:dyDescent="0.25">
      <c r="A107">
        <v>125</v>
      </c>
      <c r="B107">
        <v>4.6003924378791522E-3</v>
      </c>
      <c r="C107" s="10">
        <v>2.4882670462177559</v>
      </c>
      <c r="D107">
        <f>表格2[[#This Row],[alpha_range]]*表格2[[#This Row],[alpha_range]]</f>
        <v>6.1914728932932359</v>
      </c>
      <c r="E107">
        <v>3.3206902478582379E-2</v>
      </c>
      <c r="F107">
        <f>LOG10(表格2[[#This Row],[theta_slope]])</f>
        <v>-1.4787716332603547</v>
      </c>
    </row>
    <row r="108" spans="1:6" x14ac:dyDescent="0.25">
      <c r="A108">
        <v>126</v>
      </c>
      <c r="B108">
        <v>4.5640258260125953E-3</v>
      </c>
      <c r="C108" s="10">
        <v>2.5080937707761839</v>
      </c>
      <c r="D108">
        <f>表格2[[#This Row],[alpha_range]]*表格2[[#This Row],[alpha_range]]</f>
        <v>6.2905343630062971</v>
      </c>
      <c r="E108">
        <v>3.1921560241071623E-2</v>
      </c>
      <c r="F108">
        <f>LOG10(表格2[[#This Row],[theta_slope]])</f>
        <v>-1.4959158896418649</v>
      </c>
    </row>
    <row r="109" spans="1:6" x14ac:dyDescent="0.25">
      <c r="A109">
        <v>127</v>
      </c>
      <c r="B109">
        <v>4.5282296678391511E-3</v>
      </c>
      <c r="C109" s="10">
        <v>2.5279204961597199</v>
      </c>
      <c r="D109">
        <f>表格2[[#This Row],[alpha_range]]*表格2[[#This Row],[alpha_range]]</f>
        <v>6.3903820349044045</v>
      </c>
      <c r="E109">
        <v>3.044146982755205E-2</v>
      </c>
      <c r="F109">
        <f>LOG10(表格2[[#This Row],[theta_slope]])</f>
        <v>-1.5165343820399573</v>
      </c>
    </row>
    <row r="110" spans="1:6" x14ac:dyDescent="0.25">
      <c r="A110">
        <v>128</v>
      </c>
      <c r="B110">
        <v>4.4929906454682852E-3</v>
      </c>
      <c r="C110" s="10">
        <v>2.547747222347347</v>
      </c>
      <c r="D110">
        <f>表格2[[#This Row],[alpha_range]]*表格2[[#This Row],[alpha_range]]</f>
        <v>6.4910159089786221</v>
      </c>
      <c r="E110">
        <v>2.871360076627881E-2</v>
      </c>
      <c r="F110">
        <f>LOG10(表格2[[#This Row],[theta_slope]])</f>
        <v>-1.5419123423391123</v>
      </c>
    </row>
    <row r="111" spans="1:6" x14ac:dyDescent="0.25">
      <c r="A111">
        <v>129</v>
      </c>
      <c r="B111">
        <v>4.4582958523990837E-3</v>
      </c>
      <c r="C111" s="10">
        <v>2.5675739493014751</v>
      </c>
      <c r="D111">
        <f>表格2[[#This Row],[alpha_range]]*表格2[[#This Row],[alpha_range]]</f>
        <v>6.5924359851315737</v>
      </c>
      <c r="E111">
        <v>2.668481182797651E-2</v>
      </c>
      <c r="F111">
        <f>LOG10(表格2[[#This Row],[theta_slope]])</f>
        <v>-1.5737358553434211</v>
      </c>
    </row>
    <row r="112" spans="1:6" x14ac:dyDescent="0.25">
      <c r="A112">
        <v>130</v>
      </c>
      <c r="B112">
        <v>4.4241327776671814E-3</v>
      </c>
      <c r="C112" s="10">
        <v>2.5874006770205971</v>
      </c>
      <c r="D112">
        <f>表格2[[#This Row],[alpha_range]]*表格2[[#This Row],[alpha_range]]</f>
        <v>6.694642263446644</v>
      </c>
      <c r="E112">
        <v>2.532036781357868E-2</v>
      </c>
      <c r="F112">
        <f>LOG10(表格2[[#This Row],[theta_slope]])</f>
        <v>-1.5965299898771403</v>
      </c>
    </row>
    <row r="113" spans="1:6" x14ac:dyDescent="0.25">
      <c r="A113">
        <v>131</v>
      </c>
      <c r="B113">
        <v>4.3904892909118346E-3</v>
      </c>
      <c r="C113" s="10">
        <v>2.6072274054774951</v>
      </c>
      <c r="D113">
        <f>表格2[[#This Row],[alpha_range]]*表格2[[#This Row],[alpha_range]]</f>
        <v>6.7976347438729103</v>
      </c>
      <c r="E113">
        <v>2.2548465992802001E-2</v>
      </c>
      <c r="F113">
        <f>LOG10(表格2[[#This Row],[theta_slope]])</f>
        <v>-1.6468829985098548</v>
      </c>
    </row>
    <row r="114" spans="1:6" x14ac:dyDescent="0.25">
      <c r="A114">
        <v>132</v>
      </c>
      <c r="B114">
        <v>4.357353627931649E-3</v>
      </c>
      <c r="C114" s="10">
        <v>2.6270541346676439</v>
      </c>
      <c r="D114">
        <f>表格2[[#This Row],[alpha_range]]*表格2[[#This Row],[alpha_range]]</f>
        <v>6.9014134264743632</v>
      </c>
      <c r="E114">
        <v>1.9264948887935049E-2</v>
      </c>
      <c r="F114">
        <f>LOG10(表格2[[#This Row],[theta_slope]])</f>
        <v>-1.7152321388813054</v>
      </c>
    </row>
    <row r="115" spans="1:6" x14ac:dyDescent="0.25">
      <c r="A115">
        <v>133</v>
      </c>
      <c r="B115">
        <v>4.3247143770349366E-3</v>
      </c>
      <c r="C115" s="10">
        <v>2.6468808645708379</v>
      </c>
      <c r="D115">
        <f>表格2[[#This Row],[alpha_range]]*表格2[[#This Row],[alpha_range]]</f>
        <v>7.0059783112312664</v>
      </c>
      <c r="E115">
        <v>1.5473046636634111E-2</v>
      </c>
      <c r="F115">
        <f>LOG10(表格2[[#This Row],[theta_slope]])</f>
        <v>-1.8104241654727469</v>
      </c>
    </row>
    <row r="116" spans="1:6" x14ac:dyDescent="0.25">
      <c r="A116">
        <v>134</v>
      </c>
      <c r="B116">
        <v>4.2925604659091784E-3</v>
      </c>
      <c r="C116" s="10">
        <v>2.6667075951668382</v>
      </c>
      <c r="D116">
        <f>表格2[[#This Row],[alpha_range]]*表格2[[#This Row],[alpha_range]]</f>
        <v>7.1113293981205015</v>
      </c>
      <c r="E116">
        <v>1.122749001266431E-2</v>
      </c>
      <c r="F116">
        <f>LOG10(表格2[[#This Row],[theta_slope]])</f>
        <v>-1.949717322588713</v>
      </c>
    </row>
    <row r="117" spans="1:6" x14ac:dyDescent="0.25">
      <c r="A117">
        <v>135</v>
      </c>
      <c r="B117">
        <v>4.2608811490767399E-3</v>
      </c>
      <c r="C117" s="10">
        <v>2.6865343264486832</v>
      </c>
      <c r="D117">
        <f>表格2[[#This Row],[alpha_range]]*表格2[[#This Row],[alpha_range]]</f>
        <v>7.2174666871870796</v>
      </c>
      <c r="E117">
        <v>6.6346493041306229E-3</v>
      </c>
      <c r="F117">
        <f>LOG10(表格2[[#This Row],[theta_slope]])</f>
        <v>-2.1781820282337763</v>
      </c>
    </row>
    <row r="118" spans="1:6" ht="16.5" x14ac:dyDescent="0.25">
      <c r="A118" s="3">
        <v>136</v>
      </c>
      <c r="B118" s="3">
        <v>4.2296659960034356E-3</v>
      </c>
      <c r="C118" s="11">
        <v>2.7063610583717002</v>
      </c>
      <c r="D118" s="3">
        <f>表格2[[#This Row],[alpha_range]]*表格2[[#This Row],[alpha_range]]</f>
        <v>7.3243901782707894</v>
      </c>
      <c r="E118" s="3">
        <v>2.0891155915093141E-3</v>
      </c>
      <c r="F118" s="3">
        <f>LOG10(表格2[[#This Row],[theta_slope]])</f>
        <v>-2.6800375296866079</v>
      </c>
    </row>
    <row r="119" spans="1:6" x14ac:dyDescent="0.25">
      <c r="A119">
        <v>137</v>
      </c>
      <c r="B119">
        <v>4.1989048794762946E-3</v>
      </c>
      <c r="C119" s="10">
        <v>2.7261877909623511</v>
      </c>
      <c r="D119">
        <f>表格2[[#This Row],[alpha_range]]*表格2[[#This Row],[alpha_range]]</f>
        <v>7.4320998715921833</v>
      </c>
      <c r="E119">
        <v>3.415006810455451E-3</v>
      </c>
      <c r="F119">
        <f>LOG10(表格2[[#This Row],[theta_slope]])</f>
        <v>-2.4666084258798797</v>
      </c>
    </row>
    <row r="120" spans="1:6" x14ac:dyDescent="0.25">
      <c r="A120">
        <v>138</v>
      </c>
      <c r="B120">
        <v>4.1685879648521284E-3</v>
      </c>
      <c r="C120" s="10">
        <v>2.7460145241899321</v>
      </c>
      <c r="D120">
        <f>表格2[[#This Row],[alpha_range]]*表格2[[#This Row],[alpha_range]]</f>
        <v>7.5405957670620589</v>
      </c>
      <c r="E120">
        <v>7.9423947573752356E-3</v>
      </c>
      <c r="F120">
        <f>LOG10(表格2[[#This Row],[theta_slope]])</f>
        <v>-2.1000485311868728</v>
      </c>
    </row>
    <row r="121" spans="1:6" x14ac:dyDescent="0.25">
      <c r="A121">
        <v>139</v>
      </c>
      <c r="B121">
        <v>4.1387056994687029E-3</v>
      </c>
      <c r="C121" s="10">
        <v>2.7658412580329679</v>
      </c>
      <c r="D121">
        <f>表格2[[#This Row],[alpha_range]]*表格2[[#This Row],[alpha_range]]</f>
        <v>7.6498778646373902</v>
      </c>
      <c r="E121">
        <v>1.221504468023964E-2</v>
      </c>
      <c r="F121">
        <f>LOG10(表格2[[#This Row],[theta_slope]])</f>
        <v>-1.9131049401235336</v>
      </c>
    </row>
    <row r="122" spans="1:6" x14ac:dyDescent="0.25">
      <c r="A122">
        <v>140</v>
      </c>
      <c r="B122">
        <v>4.1092488025996562E-3</v>
      </c>
      <c r="C122" s="10">
        <v>2.785667992486486</v>
      </c>
      <c r="D122">
        <f>表格2[[#This Row],[alpha_range]]*表格2[[#This Row],[alpha_range]]</f>
        <v>7.7599461643636891</v>
      </c>
      <c r="E122">
        <v>1.6184938657753289E-2</v>
      </c>
      <c r="F122">
        <f>LOG10(表格2[[#This Row],[theta_slope]])</f>
        <v>-1.790888942270042</v>
      </c>
    </row>
    <row r="123" spans="1:6" x14ac:dyDescent="0.25">
      <c r="A123">
        <v>141</v>
      </c>
      <c r="B123">
        <v>4.0802082558908286E-3</v>
      </c>
      <c r="C123" s="10">
        <v>2.805494727531443</v>
      </c>
      <c r="D123">
        <f>表格2[[#This Row],[alpha_range]]*表格2[[#This Row],[alpha_range]]</f>
        <v>7.8708006662067254</v>
      </c>
      <c r="E123">
        <v>1.9816277992600651E-2</v>
      </c>
      <c r="F123">
        <f>LOG10(表格2[[#This Row],[theta_slope]])</f>
        <v>-1.7029779138805543</v>
      </c>
    </row>
    <row r="124" spans="1:6" x14ac:dyDescent="0.25">
      <c r="A124">
        <v>142</v>
      </c>
      <c r="B124">
        <v>4.0515752940990064E-3</v>
      </c>
      <c r="C124" s="10">
        <v>2.825321463172747</v>
      </c>
      <c r="D124">
        <f>表格2[[#This Row],[alpha_range]]*表格2[[#This Row],[alpha_range]]</f>
        <v>7.982441370264592</v>
      </c>
      <c r="E124">
        <v>2.2981840302533849E-2</v>
      </c>
      <c r="F124">
        <f>LOG10(表格2[[#This Row],[theta_slope]])</f>
        <v>-1.6386151975261158</v>
      </c>
    </row>
    <row r="125" spans="1:6" x14ac:dyDescent="0.25">
      <c r="A125">
        <v>143</v>
      </c>
      <c r="B125">
        <v>4.0233413963547474E-3</v>
      </c>
      <c r="C125" s="10">
        <v>2.8451481993821321</v>
      </c>
      <c r="D125">
        <f>表格2[[#This Row],[alpha_range]]*表格2[[#This Row],[alpha_range]]</f>
        <v>8.0948682764473894</v>
      </c>
      <c r="E125">
        <v>2.5672261155662419E-2</v>
      </c>
      <c r="F125">
        <f>LOG10(表格2[[#This Row],[theta_slope]])</f>
        <v>-1.5905358779518863</v>
      </c>
    </row>
    <row r="126" spans="1:6" x14ac:dyDescent="0.25">
      <c r="A126">
        <v>144</v>
      </c>
      <c r="B126">
        <v>3.9954982776527473E-3</v>
      </c>
      <c r="C126" s="10">
        <v>2.8649749361355799</v>
      </c>
      <c r="D126">
        <f>表格2[[#This Row],[alpha_range]]*表格2[[#This Row],[alpha_range]]</f>
        <v>8.2080813846850695</v>
      </c>
      <c r="E126">
        <v>2.7889829616897299E-2</v>
      </c>
      <c r="F126">
        <f>LOG10(表格2[[#This Row],[theta_slope]])</f>
        <v>-1.5545541388952029</v>
      </c>
    </row>
    <row r="127" spans="1:6" x14ac:dyDescent="0.25">
      <c r="A127">
        <v>145</v>
      </c>
      <c r="B127">
        <v>3.9680378807014291E-3</v>
      </c>
      <c r="C127" s="10">
        <v>2.884801673446304</v>
      </c>
      <c r="D127">
        <f>表格2[[#This Row],[alpha_range]]*表格2[[#This Row],[alpha_range]]</f>
        <v>8.3220806951185953</v>
      </c>
      <c r="E127">
        <v>2.9636142851689921E-2</v>
      </c>
      <c r="F127">
        <f>LOG10(表格2[[#This Row],[theta_slope]])</f>
        <v>-1.528178320504854</v>
      </c>
    </row>
    <row r="128" spans="1:6" x14ac:dyDescent="0.25">
      <c r="A128">
        <v>146</v>
      </c>
      <c r="B128">
        <v>3.9409523682403351E-3</v>
      </c>
      <c r="C128" s="10">
        <v>2.90462841130033</v>
      </c>
      <c r="D128">
        <f>表格2[[#This Row],[alpha_range]]*表格2[[#This Row],[alpha_range]]</f>
        <v>8.4368662077330789</v>
      </c>
      <c r="E128">
        <v>3.0895934115113662E-2</v>
      </c>
      <c r="F128">
        <f>LOG10(表格2[[#This Row],[theta_slope]])</f>
        <v>-1.5100986696869321</v>
      </c>
    </row>
    <row r="129" spans="1:6" x14ac:dyDescent="0.25">
      <c r="A129">
        <v>147</v>
      </c>
      <c r="B129">
        <v>3.9142341155687056E-3</v>
      </c>
      <c r="C129" s="10">
        <v>2.924455149665079</v>
      </c>
      <c r="D129">
        <f>表格2[[#This Row],[alpha_range]]*表格2[[#This Row],[alpha_range]]</f>
        <v>8.5524379224025999</v>
      </c>
      <c r="E129">
        <v>3.1606756921123698E-2</v>
      </c>
      <c r="F129">
        <f>LOG10(表格2[[#This Row],[theta_slope]])</f>
        <v>-1.5002200635883374</v>
      </c>
    </row>
    <row r="130" spans="1:6" x14ac:dyDescent="0.25">
      <c r="A130">
        <v>148</v>
      </c>
      <c r="B130">
        <v>3.887875703297699E-3</v>
      </c>
      <c r="C130" s="10">
        <v>2.944281888557593</v>
      </c>
      <c r="D130">
        <f>表格2[[#This Row],[alpha_range]]*表格2[[#This Row],[alpha_range]]</f>
        <v>8.6687958392882667</v>
      </c>
      <c r="E130">
        <v>3.1579394671370747E-2</v>
      </c>
      <c r="F130">
        <f>LOG10(表格2[[#This Row],[theta_slope]])</f>
        <v>-1.5005961990079972</v>
      </c>
    </row>
    <row r="131" spans="1:6" x14ac:dyDescent="0.25">
      <c r="A131">
        <v>149</v>
      </c>
      <c r="B131">
        <v>3.8618699106250328E-3</v>
      </c>
      <c r="C131" s="10">
        <v>2.964108627937823</v>
      </c>
      <c r="D131">
        <f>表格2[[#This Row],[alpha_range]]*表格2[[#This Row],[alpha_range]]</f>
        <v>8.7859399582154438</v>
      </c>
      <c r="E131">
        <v>3.0232416574376711E-2</v>
      </c>
      <c r="F131">
        <f>LOG10(表格2[[#This Row],[theta_slope]])</f>
        <v>-1.519527136878728</v>
      </c>
    </row>
    <row r="132" spans="1:6" x14ac:dyDescent="0.25">
      <c r="A132">
        <v>150</v>
      </c>
      <c r="B132">
        <v>3.8362097085768718E-3</v>
      </c>
      <c r="C132" s="10">
        <v>2.983935367831597</v>
      </c>
      <c r="D132">
        <f>表格2[[#This Row],[alpha_range]]*表格2[[#This Row],[alpha_range]]</f>
        <v>8.9038702793962887</v>
      </c>
      <c r="E132">
        <v>2.5576421099348118E-2</v>
      </c>
      <c r="F132">
        <f>LOG10(表格2[[#This Row],[theta_slope]])</f>
        <v>-1.5921602262977657</v>
      </c>
    </row>
    <row r="133" spans="1:6" x14ac:dyDescent="0.25">
      <c r="A133">
        <v>151</v>
      </c>
      <c r="B133">
        <v>3.810888253853346E-3</v>
      </c>
      <c r="C133" s="10">
        <v>3.0037621081937429</v>
      </c>
      <c r="D133">
        <f>表格2[[#This Row],[alpha_range]]*表格2[[#This Row],[alpha_range]]</f>
        <v>9.022586802620518</v>
      </c>
      <c r="E133">
        <v>1.1944260256327671E-2</v>
      </c>
      <c r="F133">
        <f>LOG10(表格2[[#This Row],[theta_slope]])</f>
        <v>-1.9228407422341711</v>
      </c>
    </row>
    <row r="134" spans="1:6" x14ac:dyDescent="0.25">
      <c r="A134">
        <v>152</v>
      </c>
      <c r="B134">
        <v>3.7858988825685072E-3</v>
      </c>
      <c r="C134" s="10">
        <v>3.0235888490434002</v>
      </c>
      <c r="D134">
        <f>表格2[[#This Row],[alpha_range]]*表格2[[#This Row],[alpha_range]]</f>
        <v>9.1420895280595929</v>
      </c>
      <c r="E134">
        <v>1.48918901312164E-2</v>
      </c>
      <c r="F134">
        <f>LOG10(表格2[[#This Row],[theta_slope]])</f>
        <v>-1.827050176562057</v>
      </c>
    </row>
    <row r="135" spans="1:6" x14ac:dyDescent="0.25">
      <c r="A135">
        <v>153</v>
      </c>
      <c r="B135">
        <v>3.7612351045526412E-3</v>
      </c>
      <c r="C135" s="10">
        <v>3.0434155903476929</v>
      </c>
      <c r="D135">
        <f>表格2[[#This Row],[alpha_range]]*表格2[[#This Row],[alpha_range]]</f>
        <v>9.2623784555713957</v>
      </c>
      <c r="E135">
        <v>2.4442343765041161E-2</v>
      </c>
      <c r="F135">
        <f>LOG10(表格2[[#This Row],[theta_slope]])</f>
        <v>-1.6118571521356835</v>
      </c>
    </row>
    <row r="136" spans="1:6" x14ac:dyDescent="0.25">
      <c r="A136">
        <v>154</v>
      </c>
      <c r="B136">
        <v>3.7368905976117831E-3</v>
      </c>
      <c r="C136" s="10">
        <v>3.063242332117269</v>
      </c>
      <c r="D136">
        <f>表格2[[#This Row],[alpha_range]]*表格2[[#This Row],[alpha_range]]</f>
        <v>9.3834535852752445</v>
      </c>
      <c r="E136">
        <v>2.8151510904475381E-2</v>
      </c>
      <c r="F136">
        <f>LOG10(表格2[[#This Row],[theta_slope]])</f>
        <v>-1.5504982914034928</v>
      </c>
    </row>
    <row r="137" spans="1:6" x14ac:dyDescent="0.25">
      <c r="A137">
        <v>155</v>
      </c>
      <c r="B137">
        <v>3.7128592022120759E-3</v>
      </c>
      <c r="C137" s="10">
        <v>3.0830690743367151</v>
      </c>
      <c r="D137">
        <f>表格2[[#This Row],[alpha_range]]*表格2[[#This Row],[alpha_range]]</f>
        <v>9.5053149171314484</v>
      </c>
      <c r="E137">
        <v>2.869932498488308E-2</v>
      </c>
      <c r="F137">
        <f>LOG10(表格2[[#This Row],[theta_slope]])</f>
        <v>-1.5421283178579239</v>
      </c>
    </row>
    <row r="138" spans="1:6" x14ac:dyDescent="0.25">
      <c r="A138">
        <v>156</v>
      </c>
      <c r="B138">
        <v>3.689134916237324E-3</v>
      </c>
      <c r="C138" s="10">
        <v>3.1028958170021239</v>
      </c>
      <c r="D138">
        <f>表格2[[#This Row],[alpha_range]]*表格2[[#This Row],[alpha_range]]</f>
        <v>9.6279624511692781</v>
      </c>
      <c r="E138">
        <v>2.800749299543864E-2</v>
      </c>
      <c r="F138">
        <f>LOG10(表格2[[#This Row],[theta_slope]])</f>
        <v>-1.5527257639709684</v>
      </c>
    </row>
    <row r="139" spans="1:6" x14ac:dyDescent="0.25">
      <c r="A139">
        <v>157</v>
      </c>
      <c r="B139">
        <v>3.6657118900237781E-3</v>
      </c>
      <c r="C139" s="10">
        <v>3.122722560094068</v>
      </c>
      <c r="D139">
        <f>表格2[[#This Row],[alpha_range]]*表格2[[#This Row],[alpha_range]]</f>
        <v>9.7513961873204504</v>
      </c>
      <c r="E139">
        <v>2.6677689730840361E-2</v>
      </c>
      <c r="F139">
        <f>LOG10(表格2[[#This Row],[theta_slope]])</f>
        <v>-1.5738517827236533</v>
      </c>
    </row>
    <row r="140" spans="1:6" x14ac:dyDescent="0.25">
      <c r="A140">
        <v>158</v>
      </c>
      <c r="B140">
        <v>3.642584421519897E-3</v>
      </c>
      <c r="C140" s="10">
        <v>3.1425493036038681</v>
      </c>
      <c r="D140">
        <f>表格2[[#This Row],[alpha_range]]*表格2[[#This Row],[alpha_range]]</f>
        <v>9.875616125581157</v>
      </c>
      <c r="E140">
        <v>2.4924109259996021E-2</v>
      </c>
      <c r="F140">
        <f>LOG10(表格2[[#This Row],[theta_slope]])</f>
        <v>-1.6033803535932767</v>
      </c>
    </row>
    <row r="141" spans="1:6" x14ac:dyDescent="0.25">
      <c r="A141">
        <v>159</v>
      </c>
      <c r="B141">
        <v>3.6197469516858921E-3</v>
      </c>
      <c r="C141" s="10">
        <v>3.1623760475104761</v>
      </c>
      <c r="D141">
        <f>表格2[[#This Row],[alpha_range]]*表格2[[#This Row],[alpha_range]]</f>
        <v>10.00062226586798</v>
      </c>
      <c r="E141">
        <v>2.2834279444727351E-2</v>
      </c>
      <c r="F141">
        <f>LOG10(表格2[[#This Row],[theta_slope]])</f>
        <v>-1.6414126883756233</v>
      </c>
    </row>
    <row r="142" spans="1:6" x14ac:dyDescent="0.25">
      <c r="A142">
        <v>160</v>
      </c>
      <c r="B142">
        <v>3.597194059943987E-3</v>
      </c>
      <c r="C142" s="10">
        <v>3.1822027918637321</v>
      </c>
      <c r="D142">
        <f>表格2[[#This Row],[alpha_range]]*表格2[[#This Row],[alpha_range]]</f>
        <v>10.126414608545332</v>
      </c>
      <c r="E142">
        <v>2.044475657513577E-2</v>
      </c>
      <c r="F142">
        <f>LOG10(表格2[[#This Row],[theta_slope]])</f>
        <v>-1.6894180559927294</v>
      </c>
    </row>
    <row r="143" spans="1:6" x14ac:dyDescent="0.25">
      <c r="A143">
        <v>161</v>
      </c>
      <c r="B143">
        <v>3.574920460100947E-3</v>
      </c>
      <c r="C143" s="10">
        <v>3.2020295365991451</v>
      </c>
      <c r="D143">
        <f>表格2[[#This Row],[alpha_range]]*表格2[[#This Row],[alpha_range]]</f>
        <v>10.252993153253335</v>
      </c>
      <c r="E143">
        <v>1.7764671834979939E-2</v>
      </c>
      <c r="F143">
        <f>LOG10(表格2[[#This Row],[theta_slope]])</f>
        <v>-1.7504428107794232</v>
      </c>
    </row>
    <row r="144" spans="1:6" x14ac:dyDescent="0.25">
      <c r="A144">
        <v>162</v>
      </c>
      <c r="B144">
        <v>3.552920996028365E-3</v>
      </c>
      <c r="C144" s="10">
        <v>3.2218562817019119</v>
      </c>
      <c r="D144">
        <f>表格2[[#This Row],[alpha_range]]*表格2[[#This Row],[alpha_range]]</f>
        <v>10.380357899942069</v>
      </c>
      <c r="E144">
        <v>1.478136769538764E-2</v>
      </c>
      <c r="F144">
        <f>LOG10(表格2[[#This Row],[theta_slope]])</f>
        <v>-1.8302853795353189</v>
      </c>
    </row>
    <row r="145" spans="1:6" x14ac:dyDescent="0.25">
      <c r="A145">
        <v>163</v>
      </c>
      <c r="B145">
        <v>3.5311906376699871E-3</v>
      </c>
      <c r="C145" s="10">
        <v>3.241683027222412</v>
      </c>
      <c r="D145">
        <f>表格2[[#This Row],[alpha_range]]*表格2[[#This Row],[alpha_range]]</f>
        <v>10.508508848981862</v>
      </c>
      <c r="E145">
        <v>1.145742597034049E-2</v>
      </c>
      <c r="F145">
        <f>LOG10(表格2[[#This Row],[theta_slope]])</f>
        <v>-1.9409129401732033</v>
      </c>
    </row>
    <row r="146" spans="1:6" x14ac:dyDescent="0.25">
      <c r="A146">
        <v>164</v>
      </c>
      <c r="B146">
        <v>3.509724477403798E-3</v>
      </c>
      <c r="C146" s="10">
        <v>3.2615097730978708</v>
      </c>
      <c r="D146">
        <f>表格2[[#This Row],[alpha_range]]*表格2[[#This Row],[alpha_range]]</f>
        <v>10.637446000012925</v>
      </c>
      <c r="E146">
        <v>7.7206151599646822E-3</v>
      </c>
      <c r="F146">
        <f>LOG10(表格2[[#This Row],[theta_slope]])</f>
        <v>-2.1123480947504669</v>
      </c>
    </row>
    <row r="147" spans="1:6" x14ac:dyDescent="0.25">
      <c r="A147">
        <v>165</v>
      </c>
      <c r="B147">
        <v>3.488517726118454E-3</v>
      </c>
      <c r="C147" s="10">
        <v>3.281336519360206</v>
      </c>
      <c r="D147">
        <f>表格2[[#This Row],[alpha_range]]*表格2[[#This Row],[alpha_range]]</f>
        <v>10.767169353286951</v>
      </c>
      <c r="E147">
        <v>3.4442408558540841E-3</v>
      </c>
      <c r="F147">
        <f>LOG10(表格2[[#This Row],[theta_slope]])</f>
        <v>-2.4629064859318399</v>
      </c>
    </row>
    <row r="148" spans="1:6" ht="16.5" x14ac:dyDescent="0.25">
      <c r="A148" s="3">
        <v>166</v>
      </c>
      <c r="B148" s="3">
        <v>3.4675657098042359E-3</v>
      </c>
      <c r="C148" s="11">
        <v>3.301163265996288</v>
      </c>
      <c r="D148" s="3">
        <f>表格2[[#This Row],[alpha_range]]*表格2[[#This Row],[alpha_range]]</f>
        <v>10.897678908763279</v>
      </c>
      <c r="E148" s="3">
        <v>1.642136760353091E-3</v>
      </c>
      <c r="F148" s="3">
        <f>LOG10(表格2[[#This Row],[theta_slope]])</f>
        <v>-2.7845906768186568</v>
      </c>
    </row>
    <row r="149" spans="1:6" x14ac:dyDescent="0.25">
      <c r="A149">
        <v>167</v>
      </c>
      <c r="B149">
        <v>3.4468638660801331E-3</v>
      </c>
      <c r="C149" s="10">
        <v>3.3209900129822669</v>
      </c>
      <c r="D149">
        <f>表格2[[#This Row],[alpha_range]]*表格2[[#This Row],[alpha_range]]</f>
        <v>11.028974666327958</v>
      </c>
      <c r="E149">
        <v>7.7999962304542954E-3</v>
      </c>
      <c r="F149">
        <f>LOG10(表格2[[#This Row],[theta_slope]])</f>
        <v>-2.1079056071932754</v>
      </c>
    </row>
    <row r="150" spans="1:6" x14ac:dyDescent="0.25">
      <c r="A150">
        <v>168</v>
      </c>
      <c r="B150">
        <v>3.4264077408595541E-3</v>
      </c>
      <c r="C150" s="10">
        <v>3.3408167603045862</v>
      </c>
      <c r="D150">
        <f>表格2[[#This Row],[alpha_range]]*表格2[[#This Row],[alpha_range]]</f>
        <v>11.16105662593203</v>
      </c>
      <c r="E150">
        <v>1.5766631754315901E-2</v>
      </c>
      <c r="F150">
        <f>LOG10(表格2[[#This Row],[theta_slope]])</f>
        <v>-1.8022610756472679</v>
      </c>
    </row>
    <row r="151" spans="1:6" x14ac:dyDescent="0.25">
      <c r="A151">
        <v>169</v>
      </c>
      <c r="B151">
        <v>3.4061929851384289E-3</v>
      </c>
      <c r="C151" s="10">
        <v>3.3606435079774459</v>
      </c>
      <c r="D151">
        <f>表格2[[#This Row],[alpha_range]]*表格2[[#This Row],[alpha_range]]</f>
        <v>11.293924787710953</v>
      </c>
      <c r="E151">
        <v>2.677425289121808E-2</v>
      </c>
      <c r="F151">
        <f>LOG10(表格2[[#This Row],[theta_slope]])</f>
        <v>-1.5722826388807292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震原 李</cp:lastModifiedBy>
  <dcterms:created xsi:type="dcterms:W3CDTF">2024-08-16T04:46:24Z</dcterms:created>
  <dcterms:modified xsi:type="dcterms:W3CDTF">2024-08-21T16:42:25Z</dcterms:modified>
</cp:coreProperties>
</file>